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aur/Projects/MGH 2026/ivermectin-placement-project/"/>
    </mc:Choice>
  </mc:AlternateContent>
  <xr:revisionPtr revIDLastSave="0" documentId="13_ncr:1_{F1246AD7-1656-644A-86C8-307BEEB4693C}" xr6:coauthVersionLast="47" xr6:coauthVersionMax="47" xr10:uidLastSave="{00000000-0000-0000-0000-000000000000}"/>
  <bookViews>
    <workbookView xWindow="0" yWindow="760" windowWidth="29400" windowHeight="17440" xr2:uid="{24CB45E3-31C8-0046-86C5-7CE97B46B52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3" i="1" l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U203" i="1" l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68" i="3" l="1"/>
  <c r="C67" i="3"/>
  <c r="C66" i="3"/>
  <c r="C65" i="3"/>
  <c r="C64" i="3"/>
  <c r="C63" i="3"/>
  <c r="C62" i="3"/>
  <c r="C61" i="3"/>
  <c r="C60" i="3"/>
  <c r="F60" i="3" s="1"/>
  <c r="C59" i="3"/>
  <c r="C58" i="3"/>
  <c r="C57" i="3"/>
  <c r="C56" i="3"/>
  <c r="C55" i="3"/>
  <c r="C54" i="3"/>
  <c r="C53" i="3"/>
  <c r="C52" i="3"/>
  <c r="C51" i="3"/>
  <c r="C50" i="3"/>
  <c r="E50" i="3" s="1"/>
  <c r="C49" i="3"/>
  <c r="C48" i="3"/>
  <c r="C47" i="3"/>
  <c r="C46" i="3"/>
  <c r="H46" i="3" s="1"/>
  <c r="I68" i="3"/>
  <c r="H68" i="3"/>
  <c r="B68" i="3"/>
  <c r="I67" i="3"/>
  <c r="B67" i="3"/>
  <c r="I66" i="3"/>
  <c r="B66" i="3"/>
  <c r="I65" i="3"/>
  <c r="B65" i="3"/>
  <c r="I64" i="3"/>
  <c r="B64" i="3"/>
  <c r="I63" i="3"/>
  <c r="B63" i="3"/>
  <c r="I62" i="3"/>
  <c r="B62" i="3"/>
  <c r="I61" i="3"/>
  <c r="B61" i="3"/>
  <c r="I60" i="3"/>
  <c r="D60" i="3"/>
  <c r="B60" i="3"/>
  <c r="I59" i="3"/>
  <c r="B59" i="3"/>
  <c r="I58" i="3"/>
  <c r="H58" i="3"/>
  <c r="B58" i="3"/>
  <c r="I57" i="3"/>
  <c r="B57" i="3"/>
  <c r="I56" i="3"/>
  <c r="B56" i="3"/>
  <c r="I55" i="3"/>
  <c r="B55" i="3"/>
  <c r="I54" i="3"/>
  <c r="B54" i="3"/>
  <c r="I53" i="3"/>
  <c r="B53" i="3"/>
  <c r="I52" i="3"/>
  <c r="B52" i="3"/>
  <c r="I51" i="3"/>
  <c r="B51" i="3"/>
  <c r="I50" i="3"/>
  <c r="G50" i="3"/>
  <c r="F50" i="3"/>
  <c r="B50" i="3"/>
  <c r="I49" i="3"/>
  <c r="B49" i="3"/>
  <c r="I48" i="3"/>
  <c r="H48" i="3"/>
  <c r="B48" i="3"/>
  <c r="I47" i="3"/>
  <c r="B47" i="3"/>
  <c r="G46" i="3"/>
  <c r="I46" i="3"/>
  <c r="B46" i="3"/>
  <c r="A46" i="3" a="1"/>
  <c r="A46" i="3" s="1"/>
  <c r="G23" i="1"/>
  <c r="F23" i="1"/>
  <c r="E94" i="1"/>
  <c r="E63" i="1"/>
  <c r="E61" i="1"/>
  <c r="E60" i="1"/>
  <c r="E59" i="1"/>
  <c r="E58" i="1"/>
  <c r="E57" i="1"/>
  <c r="E56" i="1"/>
  <c r="E55" i="1"/>
  <c r="E53" i="1"/>
  <c r="E52" i="1"/>
  <c r="E51" i="1"/>
  <c r="D94" i="1"/>
  <c r="D63" i="1"/>
  <c r="D61" i="1"/>
  <c r="D60" i="1"/>
  <c r="D59" i="1"/>
  <c r="D58" i="1"/>
  <c r="D57" i="1"/>
  <c r="D56" i="1"/>
  <c r="D55" i="1"/>
  <c r="D53" i="1"/>
  <c r="D52" i="1"/>
  <c r="D51" i="1"/>
  <c r="H50" i="3" l="1"/>
  <c r="G60" i="3"/>
  <c r="D50" i="3"/>
  <c r="J50" i="3" s="1"/>
  <c r="H60" i="3"/>
  <c r="E60" i="3"/>
  <c r="J60" i="3" s="1"/>
  <c r="D46" i="3"/>
  <c r="E46" i="3"/>
  <c r="F46" i="3"/>
  <c r="E53" i="3"/>
  <c r="H53" i="3"/>
  <c r="D53" i="3"/>
  <c r="G53" i="3"/>
  <c r="F53" i="3"/>
  <c r="G65" i="3"/>
  <c r="D65" i="3"/>
  <c r="F65" i="3"/>
  <c r="E65" i="3"/>
  <c r="H65" i="3"/>
  <c r="D62" i="3"/>
  <c r="G62" i="3"/>
  <c r="F62" i="3"/>
  <c r="E62" i="3"/>
  <c r="H62" i="3"/>
  <c r="H56" i="3"/>
  <c r="F56" i="3"/>
  <c r="E56" i="3"/>
  <c r="G56" i="3"/>
  <c r="D56" i="3"/>
  <c r="J56" i="3" s="1"/>
  <c r="G47" i="3"/>
  <c r="F47" i="3"/>
  <c r="E47" i="3"/>
  <c r="H47" i="3"/>
  <c r="D47" i="3"/>
  <c r="H66" i="3"/>
  <c r="G66" i="3"/>
  <c r="F66" i="3"/>
  <c r="E66" i="3"/>
  <c r="D66" i="3"/>
  <c r="J66" i="3" s="1"/>
  <c r="F54" i="3"/>
  <c r="E54" i="3"/>
  <c r="D54" i="3"/>
  <c r="H54" i="3"/>
  <c r="G54" i="3"/>
  <c r="H61" i="3"/>
  <c r="G61" i="3"/>
  <c r="F61" i="3"/>
  <c r="E61" i="3"/>
  <c r="D61" i="3"/>
  <c r="J61" i="3" s="1"/>
  <c r="H59" i="3"/>
  <c r="F59" i="3"/>
  <c r="E59" i="3"/>
  <c r="G59" i="3"/>
  <c r="D59" i="3"/>
  <c r="G55" i="3"/>
  <c r="E55" i="3"/>
  <c r="D55" i="3"/>
  <c r="F55" i="3"/>
  <c r="H55" i="3"/>
  <c r="F67" i="3"/>
  <c r="D67" i="3"/>
  <c r="H67" i="3"/>
  <c r="G67" i="3"/>
  <c r="E67" i="3"/>
  <c r="F51" i="3"/>
  <c r="H51" i="3"/>
  <c r="E51" i="3"/>
  <c r="D51" i="3"/>
  <c r="G51" i="3"/>
  <c r="E63" i="3"/>
  <c r="D63" i="3"/>
  <c r="H63" i="3"/>
  <c r="G63" i="3"/>
  <c r="F63" i="3"/>
  <c r="H49" i="3"/>
  <c r="G49" i="3"/>
  <c r="D49" i="3"/>
  <c r="F49" i="3"/>
  <c r="E49" i="3"/>
  <c r="D52" i="3"/>
  <c r="G52" i="3"/>
  <c r="F52" i="3"/>
  <c r="E52" i="3"/>
  <c r="H52" i="3"/>
  <c r="G57" i="3"/>
  <c r="F57" i="3"/>
  <c r="D57" i="3"/>
  <c r="H57" i="3"/>
  <c r="E57" i="3"/>
  <c r="F64" i="3"/>
  <c r="E64" i="3"/>
  <c r="D64" i="3"/>
  <c r="H64" i="3"/>
  <c r="G64" i="3"/>
  <c r="D48" i="3"/>
  <c r="E58" i="3"/>
  <c r="D68" i="3"/>
  <c r="J68" i="3" s="1"/>
  <c r="D58" i="3"/>
  <c r="E48" i="3"/>
  <c r="F58" i="3"/>
  <c r="G68" i="3"/>
  <c r="E68" i="3"/>
  <c r="F48" i="3"/>
  <c r="F68" i="3"/>
  <c r="G48" i="3"/>
  <c r="G58" i="3"/>
  <c r="J58" i="3" l="1"/>
  <c r="J47" i="3"/>
  <c r="J59" i="3"/>
  <c r="J46" i="3"/>
  <c r="J51" i="3"/>
  <c r="J57" i="3"/>
  <c r="J55" i="3"/>
  <c r="J48" i="3"/>
  <c r="J49" i="3"/>
  <c r="J65" i="3"/>
  <c r="J64" i="3"/>
  <c r="J54" i="3"/>
  <c r="J53" i="3"/>
  <c r="J63" i="3"/>
  <c r="J67" i="3"/>
  <c r="J52" i="3"/>
  <c r="J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Prabhleen Kaur</author>
  </authors>
  <commentList>
    <comment ref="B43" authorId="0" shapeId="0" xr:uid="{B4F0286C-20E1-8F43-AFCD-78A1C2D77E06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Used to convert the annual District Health Officer salary (Sheet2, col D) to a daily rate. Adjust if you prefer a different convention.</t>
        </r>
      </text>
    </comment>
    <comment ref="B44" authorId="0" shapeId="0" xr:uid="{672DE990-631F-7445-84C8-DDA5D83B0087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Toyota Land Cruiser ≈ 13 L/100 km. Used to convert Sheet2 pump prices (USD/L) to USD/km so the ratio is dimensionally consistent with the 0.12 USD/km base.</t>
        </r>
      </text>
    </comment>
    <comment ref="C45" authorId="0" shapeId="0" xr:uid="{3D0CB15E-1D46-6A4F-B479-0C30518EB758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Country pump price (USD/L) × vehicle consumption (B44, L/km) ÷ base fuel cost (B4, USD/km)</t>
        </r>
      </text>
    </comment>
    <comment ref="D45" authorId="0" shapeId="0" xr:uid="{F5161C11-3AED-8848-B032-0F40865B3D67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km_region (B3) × round trip (B42) × base fuel USD/km (B4) × country fuel ratio</t>
        </r>
      </text>
    </comment>
    <comment ref="E45" authorId="0" shapeId="0" xr:uid="{5A5EB535-6660-6846-BE8D-5027EA5504EC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food (B5) × ratio × attendants × meeting days</t>
        </r>
      </text>
    </comment>
    <comment ref="F45" authorId="0" shapeId="0" xr:uid="{32281A89-021C-924C-AC89-B4B859D603FC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leaflet (B7) × copies (B41) × ratio</t>
        </r>
      </text>
    </comment>
    <comment ref="G45" authorId="0" shapeId="0" xr:uid="{DEEB6309-1C62-2746-A736-183CDD097839}">
      <text>
        <r>
          <rPr>
            <b/>
            <sz val="10"/>
            <color rgb="FF000000"/>
            <rFont val="Tahoma"/>
            <family val="2"/>
          </rPr>
          <t>cheap_hotel (B33) × ratio × attendants × nights</t>
        </r>
      </text>
    </comment>
    <comment ref="H45" authorId="0" shapeId="0" xr:uid="{DA9209EE-51E4-3F43-83BE-28DD2A657045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district_dsa (B8) × ratio × attendants × meeting days</t>
        </r>
      </text>
    </comment>
    <comment ref="I45" authorId="0" shapeId="0" xr:uid="{006BBAAF-3394-ED48-AA0A-20B00B7FCDD5}">
      <text>
        <r>
          <rPr>
            <b/>
            <sz val="10"/>
            <color rgb="FF000000"/>
            <rFont val="Tahoma"/>
            <family val="2"/>
          </rPr>
          <t>Prabhleen Kaur:</t>
        </r>
        <r>
          <rPr>
            <sz val="10"/>
            <color rgb="FF000000"/>
            <rFont val="Tahoma"/>
            <family val="2"/>
          </rPr>
          <t xml:space="preserve">
District Health Officer salary (Sheet2 col D, country mean) ÷ working days per year (B43) × attendants × meeting days. Not scaled by the fuel ratio — salaries are already country-specific.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<sst xmlns="http://schemas.openxmlformats.org/spreadsheetml/2006/main" count="945" uniqueCount="379">
  <si>
    <t>Country</t>
  </si>
  <si>
    <t xml:space="preserve">Angola </t>
  </si>
  <si>
    <t>Benin</t>
  </si>
  <si>
    <t>Burkina Faso</t>
  </si>
  <si>
    <t>Burundi</t>
  </si>
  <si>
    <t>Cameroon</t>
  </si>
  <si>
    <t>Chad</t>
  </si>
  <si>
    <t xml:space="preserve">Congo </t>
  </si>
  <si>
    <t>Cote d'Ivoire</t>
  </si>
  <si>
    <t>Democratic Republic of the Congo</t>
  </si>
  <si>
    <t>Ghana</t>
  </si>
  <si>
    <t>Guinea</t>
  </si>
  <si>
    <t>Guinea-Bissau</t>
  </si>
  <si>
    <t>Liberia</t>
  </si>
  <si>
    <t>Malawi</t>
  </si>
  <si>
    <t>Mali</t>
  </si>
  <si>
    <t>Mozambique</t>
  </si>
  <si>
    <t>Nigeria</t>
  </si>
  <si>
    <t>Sierra Leonne</t>
  </si>
  <si>
    <t xml:space="preserve">South Sudan </t>
  </si>
  <si>
    <t>Tanzania</t>
  </si>
  <si>
    <t>Togo</t>
  </si>
  <si>
    <t>Uganda</t>
  </si>
  <si>
    <t>Bengo</t>
  </si>
  <si>
    <t>Bie</t>
  </si>
  <si>
    <t>Cuando Cubango</t>
  </si>
  <si>
    <t>Huambo</t>
  </si>
  <si>
    <t>Huila</t>
  </si>
  <si>
    <t>Lunda Sul</t>
  </si>
  <si>
    <t>Uige</t>
  </si>
  <si>
    <t>Alibori</t>
  </si>
  <si>
    <t>Atakora</t>
  </si>
  <si>
    <t>Atlantique</t>
  </si>
  <si>
    <t>Borgou</t>
  </si>
  <si>
    <t>Collines</t>
  </si>
  <si>
    <t>Couffo</t>
  </si>
  <si>
    <t>Donga</t>
  </si>
  <si>
    <t>Mono</t>
  </si>
  <si>
    <t>Oueme</t>
  </si>
  <si>
    <t>Plateau</t>
  </si>
  <si>
    <t>Zou</t>
  </si>
  <si>
    <t>Cascades</t>
  </si>
  <si>
    <t>Sud-Ouest</t>
  </si>
  <si>
    <t>Bubanza</t>
  </si>
  <si>
    <t>Bujumbura (Mairie)</t>
  </si>
  <si>
    <t>Bururi</t>
  </si>
  <si>
    <t>Cibitoke</t>
  </si>
  <si>
    <t>Makamba</t>
  </si>
  <si>
    <t>Rutana</t>
  </si>
  <si>
    <t>Est</t>
  </si>
  <si>
    <t>Extreme Nord</t>
  </si>
  <si>
    <t>Littoral</t>
  </si>
  <si>
    <t>Nord</t>
  </si>
  <si>
    <t>Nord Ouest</t>
  </si>
  <si>
    <t>Ouest</t>
  </si>
  <si>
    <t>Sud</t>
  </si>
  <si>
    <t>Sud Ouest</t>
  </si>
  <si>
    <t>Logone Occidental</t>
  </si>
  <si>
    <t>Logone Oriental</t>
  </si>
  <si>
    <t>Mandoul</t>
  </si>
  <si>
    <t>Mayo Kebbi Est</t>
  </si>
  <si>
    <t>Mayo Kebbi Ouest</t>
  </si>
  <si>
    <t>Moyen Chari</t>
  </si>
  <si>
    <t>Tandjile</t>
  </si>
  <si>
    <t>Bouenza</t>
  </si>
  <si>
    <t>Brazzaville</t>
  </si>
  <si>
    <t>Kouilou</t>
  </si>
  <si>
    <t>Lekoumou</t>
  </si>
  <si>
    <t>Niari</t>
  </si>
  <si>
    <t>Pool</t>
  </si>
  <si>
    <t>Bas-Sassandra</t>
  </si>
  <si>
    <t>Comoé</t>
  </si>
  <si>
    <t>Denguélé</t>
  </si>
  <si>
    <t>Gôh-Djiboua</t>
  </si>
  <si>
    <t>Lacs</t>
  </si>
  <si>
    <t>Lagunes</t>
  </si>
  <si>
    <t>Montagnes</t>
  </si>
  <si>
    <t>Sassandra-Marahoué</t>
  </si>
  <si>
    <t>Savanes</t>
  </si>
  <si>
    <t>Vallée du Bandama</t>
  </si>
  <si>
    <t>Woroba</t>
  </si>
  <si>
    <t>Yamoussoukro (Autonomous District)</t>
  </si>
  <si>
    <t>Zanzan</t>
  </si>
  <si>
    <t>Bas-Uele</t>
  </si>
  <si>
    <t>Equateur</t>
  </si>
  <si>
    <t>Haut-Katanga</t>
  </si>
  <si>
    <t>Haut-Lomami</t>
  </si>
  <si>
    <t>Haut-Uele</t>
  </si>
  <si>
    <t>Ituri</t>
  </si>
  <si>
    <t>Kasai</t>
  </si>
  <si>
    <t>Kasai-Central</t>
  </si>
  <si>
    <t>Kasai-Oriental</t>
  </si>
  <si>
    <t>Kinshasa</t>
  </si>
  <si>
    <t>Kongo-Central</t>
  </si>
  <si>
    <t>Kwango</t>
  </si>
  <si>
    <t>Kwilu</t>
  </si>
  <si>
    <t>Lomami</t>
  </si>
  <si>
    <t>Lualaba</t>
  </si>
  <si>
    <t>Mai-Ndombe</t>
  </si>
  <si>
    <t>Maniema</t>
  </si>
  <si>
    <t>Mongala</t>
  </si>
  <si>
    <t>Nord-Kivu</t>
  </si>
  <si>
    <t>Nord-Ubangi</t>
  </si>
  <si>
    <t>Sankuru</t>
  </si>
  <si>
    <t>Sud-Ubangi</t>
  </si>
  <si>
    <t>Tanganyika</t>
  </si>
  <si>
    <t>Tshopo</t>
  </si>
  <si>
    <t>Tshuapa</t>
  </si>
  <si>
    <t>Amhara</t>
  </si>
  <si>
    <t>Benishangul Gumz</t>
  </si>
  <si>
    <t>Gambela</t>
  </si>
  <si>
    <t>Oromia</t>
  </si>
  <si>
    <t>Sidama</t>
  </si>
  <si>
    <t>Snnp</t>
  </si>
  <si>
    <t>Ahafo</t>
  </si>
  <si>
    <t>Ashanti</t>
  </si>
  <si>
    <t>Bono</t>
  </si>
  <si>
    <t>Bono East</t>
  </si>
  <si>
    <t>Central</t>
  </si>
  <si>
    <t>Eastern</t>
  </si>
  <si>
    <t>Greater Accra</t>
  </si>
  <si>
    <t>North East</t>
  </si>
  <si>
    <t>Northern</t>
  </si>
  <si>
    <t>Oti</t>
  </si>
  <si>
    <t>Savannah</t>
  </si>
  <si>
    <t>Upper East</t>
  </si>
  <si>
    <t>Upper West</t>
  </si>
  <si>
    <t>Western</t>
  </si>
  <si>
    <t>Western North</t>
  </si>
  <si>
    <t>Boke</t>
  </si>
  <si>
    <t>Faranah</t>
  </si>
  <si>
    <t>Kankan</t>
  </si>
  <si>
    <t>Kindia</t>
  </si>
  <si>
    <t>Labe</t>
  </si>
  <si>
    <t>Mamou</t>
  </si>
  <si>
    <t>Nzerekore</t>
  </si>
  <si>
    <t>Bafata</t>
  </si>
  <si>
    <t>Bijagos (Bolama)</t>
  </si>
  <si>
    <t>Cacheu</t>
  </si>
  <si>
    <t>Gabu</t>
  </si>
  <si>
    <t>Oio</t>
  </si>
  <si>
    <t>Quinara</t>
  </si>
  <si>
    <t>Bomi</t>
  </si>
  <si>
    <t>Bong</t>
  </si>
  <si>
    <t>Gbapolu</t>
  </si>
  <si>
    <t>Grand Bassa</t>
  </si>
  <si>
    <t>Grand Cape Mount</t>
  </si>
  <si>
    <t>Grand Gedeh</t>
  </si>
  <si>
    <t>Grand Kru</t>
  </si>
  <si>
    <t>Lofa</t>
  </si>
  <si>
    <t>Marigibi</t>
  </si>
  <si>
    <t>Maryland</t>
  </si>
  <si>
    <t>Montserrado</t>
  </si>
  <si>
    <t>Nimba</t>
  </si>
  <si>
    <t>River Cess</t>
  </si>
  <si>
    <t>River Gee</t>
  </si>
  <si>
    <t>Sinoe</t>
  </si>
  <si>
    <t>Central Region</t>
  </si>
  <si>
    <t>Southern Region</t>
  </si>
  <si>
    <t>Kayes</t>
  </si>
  <si>
    <t>Koulikoro</t>
  </si>
  <si>
    <t>Sikasso</t>
  </si>
  <si>
    <t>Nampula</t>
  </si>
  <si>
    <t>Niassa</t>
  </si>
  <si>
    <t>Sofala</t>
  </si>
  <si>
    <t>Zambezia</t>
  </si>
  <si>
    <t>Adamawa</t>
  </si>
  <si>
    <t>Akwa Ibom</t>
  </si>
  <si>
    <t>Anambra</t>
  </si>
  <si>
    <t>Bauchi</t>
  </si>
  <si>
    <t>Bayelsa</t>
  </si>
  <si>
    <t>Benue</t>
  </si>
  <si>
    <t>Borno</t>
  </si>
  <si>
    <t>Cross River</t>
  </si>
  <si>
    <t>Delta</t>
  </si>
  <si>
    <t>Ebonyi</t>
  </si>
  <si>
    <t>Edo</t>
  </si>
  <si>
    <t>Ekiti</t>
  </si>
  <si>
    <t>Enugu</t>
  </si>
  <si>
    <t>Abuja (Federal Capital )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</si>
  <si>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</si>
  <si>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</si>
  <si>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</si>
  <si>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</si>
  <si>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</si>
  <si>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</si>
  <si>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</si>
  <si>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</si>
  <si>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</si>
  <si>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</si>
  <si>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</si>
  <si>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</si>
  <si>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</si>
  <si>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Rivers</t>
  </si>
  <si>
    <t>Sokoto</t>
  </si>
  <si>
    <t>Zamfara</t>
  </si>
  <si>
    <t xml:space="preserve">Southern </t>
  </si>
  <si>
    <t>Central Equatoria</t>
  </si>
  <si>
    <t>Eastern Equatoria</t>
  </si>
  <si>
    <t>Jonglei</t>
  </si>
  <si>
    <t>Lakes</t>
  </si>
  <si>
    <t>Northern Bar  El Ghazel</t>
  </si>
  <si>
    <t>Upper Nile</t>
  </si>
  <si>
    <t>Warrap</t>
  </si>
  <si>
    <t>Western Bar El Ghazel</t>
  </si>
  <si>
    <t>Western Equatoria</t>
  </si>
  <si>
    <t>Dar-es-salaam</t>
  </si>
  <si>
    <t>Iringa</t>
  </si>
  <si>
    <t>Lindi</t>
  </si>
  <si>
    <t>Morogoro</t>
  </si>
  <si>
    <t>Mtwara</t>
  </si>
  <si>
    <t>Njombe</t>
  </si>
  <si>
    <t>Ruvuma</t>
  </si>
  <si>
    <t>Tanga</t>
  </si>
  <si>
    <t>Centrale</t>
  </si>
  <si>
    <t>Kara</t>
  </si>
  <si>
    <t>Maritime</t>
  </si>
  <si>
    <t>Plateaux</t>
  </si>
  <si>
    <t>Northern </t>
  </si>
  <si>
    <t>Western </t>
  </si>
  <si>
    <t xml:space="preserve">Malaria Incidence </t>
  </si>
  <si>
    <t xml:space="preserve">IVM Target Population </t>
  </si>
  <si>
    <t xml:space="preserve">IVM Coverage </t>
  </si>
  <si>
    <t>Cuanza Norte</t>
  </si>
  <si>
    <t>Cuanza Sul</t>
  </si>
  <si>
    <t xml:space="preserve">Ethiopia </t>
  </si>
  <si>
    <t>Ethiopia</t>
  </si>
  <si>
    <t xml:space="preserve">Total population  </t>
  </si>
  <si>
    <t xml:space="preserve">Prevalence of Loa Loa </t>
  </si>
  <si>
    <t>Severe Malaria Cases (per 100000)</t>
  </si>
  <si>
    <t xml:space="preserve">Uncomplicated malaria cases (per 100 000) </t>
  </si>
  <si>
    <t>Estimated Uncomplicated Cases</t>
  </si>
  <si>
    <t>Estimated Severe Cases</t>
  </si>
  <si>
    <t xml:space="preserve">Unit cost Uncomplicated </t>
  </si>
  <si>
    <t xml:space="preserve">Unit Cost Severe </t>
  </si>
  <si>
    <t xml:space="preserve">DALYS malaria </t>
  </si>
  <si>
    <t xml:space="preserve">ALBIVM Target Population </t>
  </si>
  <si>
    <t xml:space="preserve">ALBIVM Coverage </t>
  </si>
  <si>
    <t>Senior Program Mgr salary (mean)</t>
  </si>
  <si>
    <t>District Health Officer salary (mean)</t>
  </si>
  <si>
    <t>District</t>
  </si>
  <si>
    <t>Fuel prices (Gasoline prices) USD</t>
  </si>
  <si>
    <t>Angola</t>
  </si>
  <si>
    <t>Cuando Cubango</t>
  </si>
  <si>
    <t>Lunda Sul</t>
  </si>
  <si>
    <t>Extreme Nord</t>
  </si>
  <si>
    <t>Nord Ouest</t>
  </si>
  <si>
    <t>Sud Ouest</t>
  </si>
  <si>
    <t>Logone Occidental</t>
  </si>
  <si>
    <t>Logone Oriental</t>
  </si>
  <si>
    <t>Mayo Kebbi Est</t>
  </si>
  <si>
    <t>Mayo Kebbi Ouest</t>
  </si>
  <si>
    <t>Moyen Chari</t>
  </si>
  <si>
    <t>Congo</t>
  </si>
  <si>
    <t>Benishangul Gumz</t>
  </si>
  <si>
    <t>Bono East</t>
  </si>
  <si>
    <t>Greater Accra</t>
  </si>
  <si>
    <t>North East</t>
  </si>
  <si>
    <t>Upper East</t>
  </si>
  <si>
    <t>Upper West</t>
  </si>
  <si>
    <t>Western North</t>
  </si>
  <si>
    <t>Grand Bassa</t>
  </si>
  <si>
    <t>Grand Cape Mount</t>
  </si>
  <si>
    <t>Grand Gedeh</t>
  </si>
  <si>
    <t>Grand Kru</t>
  </si>
  <si>
    <t>Akwa Ibom</t>
  </si>
  <si>
    <t>Cross River</t>
  </si>
  <si>
    <t>Southern</t>
  </si>
  <si>
    <t>South Sudan</t>
  </si>
  <si>
    <t>Central Equatoria</t>
  </si>
  <si>
    <t>Eastern Equatoria</t>
  </si>
  <si>
    <t>Northern Bar El Ghazel</t>
  </si>
  <si>
    <t>Upper Nile</t>
  </si>
  <si>
    <t>Western Bar El Ghazel</t>
  </si>
  <si>
    <t>Western Equatoria</t>
  </si>
  <si>
    <t>Cuanza Norte</t>
  </si>
  <si>
    <t>Cuanza Sul</t>
  </si>
  <si>
    <t>Values for Ratios</t>
  </si>
  <si>
    <t>km_region</t>
  </si>
  <si>
    <t>mean distance from district centre to regional centre (one-way)</t>
  </si>
  <si>
    <t xml:space="preserve">leaflet </t>
  </si>
  <si>
    <t>km</t>
  </si>
  <si>
    <t>USD/unit</t>
  </si>
  <si>
    <t>price of a printed colour leaflet, A4</t>
  </si>
  <si>
    <t>fuel</t>
  </si>
  <si>
    <t>USD, km</t>
  </si>
  <si>
    <t>USD per km of fuel in Toyota Cruiser</t>
  </si>
  <si>
    <t>food</t>
  </si>
  <si>
    <t>Food allowance per meeting day per person</t>
  </si>
  <si>
    <t>district_wage</t>
  </si>
  <si>
    <t>USD/day</t>
  </si>
  <si>
    <t>Cost of a district staff members wage</t>
  </si>
  <si>
    <t>central_regional_dsa</t>
  </si>
  <si>
    <t>Cost of a central staff members per diem</t>
  </si>
  <si>
    <t>central_regional_wage</t>
  </si>
  <si>
    <t>USD per month</t>
  </si>
  <si>
    <t>Mean monthly wage of program staff at central level</t>
  </si>
  <si>
    <t>district_dsa</t>
  </si>
  <si>
    <t>District worker DSA</t>
  </si>
  <si>
    <t>driver_wage</t>
  </si>
  <si>
    <t>Cost of a driver staff members wage</t>
  </si>
  <si>
    <t>drug_vol</t>
  </si>
  <si>
    <t>cm3, per course</t>
  </si>
  <si>
    <t>Drug volume</t>
  </si>
  <si>
    <t>electricity</t>
  </si>
  <si>
    <t>USD, kWh</t>
  </si>
  <si>
    <t>Price of electricity per Kwh</t>
  </si>
  <si>
    <t>chw_n_cen_plan_c</t>
  </si>
  <si>
    <t>number</t>
  </si>
  <si>
    <t>planning meeting at central level - attendants from central level</t>
  </si>
  <si>
    <t>chw_n_cen_plan_d</t>
  </si>
  <si>
    <t>planning meeting at central level - attendants from district level</t>
  </si>
  <si>
    <t>chw_n_cen_plan_Days</t>
  </si>
  <si>
    <t>planning meeting days at central level</t>
  </si>
  <si>
    <t>chw_n_cen_plan_r</t>
  </si>
  <si>
    <t>planning meeting at central level - attendants from regional level</t>
  </si>
  <si>
    <t>chw_n_plan_c</t>
  </si>
  <si>
    <t>Micro Planning - attendants from central level</t>
  </si>
  <si>
    <t>chw_n_plan_d</t>
  </si>
  <si>
    <t>Micro Planning - attendants from district level</t>
  </si>
  <si>
    <t>chw_n_plan_r</t>
  </si>
  <si>
    <t>Micro Planning - attendants from regional level</t>
  </si>
  <si>
    <t>MDA_Days_plan_d</t>
  </si>
  <si>
    <t>Days</t>
  </si>
  <si>
    <t>Days micro-planning intervention at district level</t>
  </si>
  <si>
    <t>MDA_Days_plan_r</t>
  </si>
  <si>
    <t>Days micro-planning intervention at regional level</t>
  </si>
  <si>
    <t>Source</t>
  </si>
  <si>
    <t xml:space="preserve">MACEPA mostly </t>
  </si>
  <si>
    <t>cheap_hotel</t>
  </si>
  <si>
    <t>USD</t>
  </si>
  <si>
    <t>cost of night accommodation in cheap hotel</t>
  </si>
  <si>
    <t>MACEPA/ zambia</t>
  </si>
  <si>
    <t>Combined Planning Cost per Country — one-day district planning meeting</t>
  </si>
  <si>
    <t>Meeting assumptions</t>
  </si>
  <si>
    <t>n_district_attendants</t>
  </si>
  <si>
    <t>District attendants per meeting</t>
  </si>
  <si>
    <t>meeting_days</t>
  </si>
  <si>
    <t>days</t>
  </si>
  <si>
    <t>Meeting duration (one whole day)</t>
  </si>
  <si>
    <t>hotel_nights</t>
  </si>
  <si>
    <t>nights</t>
  </si>
  <si>
    <t>Nights of accommodation for district workers</t>
  </si>
  <si>
    <t>leaflet_copies</t>
  </si>
  <si>
    <t>copies</t>
  </si>
  <si>
    <t>Printed leaflets per meeting</t>
  </si>
  <si>
    <t>round_trip_factor</t>
  </si>
  <si>
    <t>km_region is one-way, so ×2 for round trip</t>
  </si>
  <si>
    <t>working_days_per_year</t>
  </si>
  <si>
    <t>To convert annual salary to daily wage</t>
  </si>
  <si>
    <t>Fuel price (USD/L)</t>
  </si>
  <si>
    <t>Transport (USD)</t>
  </si>
  <si>
    <t>Food (USD)</t>
  </si>
  <si>
    <t>Leaflets (USD)</t>
  </si>
  <si>
    <t>Accommodation (USD)</t>
  </si>
  <si>
    <t>DSA (USD)</t>
  </si>
  <si>
    <t>Staff time (USD)</t>
  </si>
  <si>
    <t>Total planning cost (USD)</t>
  </si>
  <si>
    <t>Method</t>
  </si>
  <si>
    <t>Fuel Ratio</t>
  </si>
  <si>
    <t xml:space="preserve">Country fuel prices/0.12 </t>
  </si>
  <si>
    <t xml:space="preserve">Transport </t>
  </si>
  <si>
    <t>44.5 km × 2 × 0.12 × ratio</t>
  </si>
  <si>
    <t xml:space="preserve">Staff time </t>
  </si>
  <si>
    <t>country-mean District Health Officer salary ÷ 260 × 4 attendants (no ratio since already country specific )</t>
  </si>
  <si>
    <t>vehicle_consumption</t>
  </si>
  <si>
    <t>L/km</t>
  </si>
  <si>
    <t>Fuel consumption of vehicle (to convert USD/L to USD/km)</t>
  </si>
  <si>
    <t>Fuel ratio (USD/km vs 0.12 base)</t>
  </si>
  <si>
    <t xml:space="preserve">Convert Fuel </t>
  </si>
  <si>
    <t>USD per km to USD per litre</t>
  </si>
  <si>
    <t>Toyota Land Cruiser uses roughly 13L/100 km (0.13L/km), country fuel cost per km = price/litre x 0.13 then divide that by 0.12</t>
  </si>
  <si>
    <t>Programme Cost</t>
  </si>
  <si>
    <t>Cost inpatient bed day at Secondary level (US$ 2024)</t>
  </si>
  <si>
    <t>Cost per outpatient in health center (US$ 2024)</t>
  </si>
  <si>
    <t>Incidence Rate (cases per thousand)</t>
  </si>
  <si>
    <t>Total Malaria Cases (Estimated)</t>
  </si>
  <si>
    <t>Subnational region</t>
  </si>
  <si>
    <t>derived from: https://pmc.ncbi.nlm.nih.gov/articles/PMC7491157/”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</si>
</sst>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&quot;£&quot;#,##0.00"/>
  </numFmts>
  <fonts count="2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1"/>
      <color rgb="FF000000"/>
      <name val="Aptos Narrow"/>
      <scheme val="minor"/>
    </font>
    <font>
      <sz val="10"/>
      <color rgb="FF000000"/>
      <name val="Helvetica Neue"/>
      <family val="2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rgb="FF0000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rgb="FF121212"/>
      <name val="Arial"/>
      <family val="2"/>
    </font>
    <font>
      <sz val="10"/>
      <color theme="1"/>
      <name val="Helvetica Neue"/>
      <family val="2"/>
    </font>
    <font>
      <sz val="11"/>
      <color rgb="FF000000"/>
      <name val="Lucida Grande"/>
      <family val="2"/>
    </font>
    <font>
      <sz val="11"/>
      <color rgb="FF000000"/>
      <name val="Aptos Narrow"/>
    </font>
    <font>
      <sz val="12"/>
      <color rgb="FF0307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3" fontId="6" fillId="0" borderId="0" xfId="0" applyNumberFormat="1" applyFont="1" applyAlignment="1">
      <alignment horizontal="left" vertical="top"/>
    </xf>
    <xf numFmtId="2" fontId="0" fillId="0" borderId="0" xfId="0" applyNumberFormat="1"/>
    <xf numFmtId="0" fontId="2" fillId="0" borderId="0" xfId="0" applyFont="1"/>
    <xf numFmtId="4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/>
    <xf numFmtId="0" fontId="5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7" fillId="2" borderId="0" xfId="0" applyFont="1" applyFill="1"/>
    <xf numFmtId="165" fontId="0" fillId="0" borderId="0" xfId="0" applyNumberFormat="1"/>
    <xf numFmtId="166" fontId="0" fillId="0" borderId="0" xfId="0" applyNumberFormat="1"/>
    <xf numFmtId="166" fontId="7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3" fillId="0" borderId="0" xfId="0" applyFont="1"/>
    <xf numFmtId="3" fontId="5" fillId="0" borderId="0" xfId="0" applyNumberFormat="1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6B513F-BB05-9D49-BDFA-63DBE954DF6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41b5938-cb18-4772-9f5c-a2dba67fb2ce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0EEC-05F5-4746-9359-3367C508A7CD}">
  <dimension ref="A1:U205"/>
  <sheetViews>
    <sheetView tabSelected="1" workbookViewId="0">
      <pane xSplit="2" ySplit="1" topLeftCell="N99" activePane="bottomRight" state="frozen"/>
      <selection pane="topRight" activeCell="C1" sqref="C1"/>
      <selection pane="bottomLeft" activeCell="A2" sqref="A2"/>
      <selection pane="bottomRight" activeCell="R106" sqref="R106"/>
    </sheetView>
  </sheetViews>
  <sheetFormatPr baseColWidth="10" defaultRowHeight="16" x14ac:dyDescent="0.2"/>
  <cols>
    <col min="1" max="1" width="14" customWidth="1"/>
    <col min="2" max="2" width="17" customWidth="1"/>
    <col min="3" max="3" width="19.83203125" customWidth="1"/>
    <col min="4" max="4" width="25.1640625" customWidth="1"/>
    <col min="5" max="5" width="18.5" customWidth="1"/>
    <col min="6" max="6" width="26.5" customWidth="1"/>
    <col min="7" max="7" width="24.83203125" customWidth="1"/>
    <col min="8" max="8" width="22" customWidth="1"/>
    <col min="9" max="9" width="28.83203125" customWidth="1"/>
    <col min="10" max="10" width="41.1640625" customWidth="1"/>
    <col min="11" max="11" width="39.5" customWidth="1"/>
    <col min="12" max="12" width="29.33203125" customWidth="1"/>
    <col min="13" max="13" width="19.33203125" customWidth="1"/>
    <col min="14" max="14" width="45.5" customWidth="1"/>
    <col min="15" max="15" width="39.6640625" customWidth="1"/>
    <col min="16" max="16" width="29.6640625" customWidth="1"/>
    <col min="17" max="17" width="21" customWidth="1"/>
    <col min="18" max="18" width="17.33203125" customWidth="1"/>
    <col min="19" max="19" width="18.1640625" customWidth="1"/>
  </cols>
  <sheetData>
    <row r="1" spans="1:21" ht="22" x14ac:dyDescent="0.3">
      <c r="A1" s="6" t="s">
        <v>0</v>
      </c>
      <c r="B1" s="6" t="s">
        <v>377</v>
      </c>
      <c r="C1" s="6" t="s">
        <v>220</v>
      </c>
      <c r="D1" s="6" t="s">
        <v>221</v>
      </c>
      <c r="E1" s="6" t="s">
        <v>222</v>
      </c>
      <c r="F1" s="6" t="s">
        <v>236</v>
      </c>
      <c r="G1" s="6" t="s">
        <v>237</v>
      </c>
      <c r="H1" s="6" t="s">
        <v>227</v>
      </c>
      <c r="I1" s="6" t="s">
        <v>228</v>
      </c>
      <c r="J1" s="6" t="s">
        <v>230</v>
      </c>
      <c r="K1" s="6" t="s">
        <v>229</v>
      </c>
      <c r="L1" s="6" t="s">
        <v>231</v>
      </c>
      <c r="M1" s="6" t="s">
        <v>232</v>
      </c>
      <c r="N1" s="6" t="s">
        <v>373</v>
      </c>
      <c r="O1" s="6" t="s">
        <v>374</v>
      </c>
      <c r="P1" s="1" t="s">
        <v>233</v>
      </c>
      <c r="Q1" s="6" t="s">
        <v>234</v>
      </c>
      <c r="R1" s="6" t="s">
        <v>235</v>
      </c>
      <c r="S1" s="6" t="s">
        <v>372</v>
      </c>
      <c r="T1" s="6" t="s">
        <v>375</v>
      </c>
      <c r="U1" s="6" t="s">
        <v>376</v>
      </c>
    </row>
    <row r="2" spans="1:21" x14ac:dyDescent="0.2">
      <c r="A2" s="7" t="s">
        <v>1</v>
      </c>
      <c r="B2" s="7" t="s">
        <v>23</v>
      </c>
      <c r="C2" s="8">
        <v>166425.87983588199</v>
      </c>
      <c r="D2" s="7"/>
      <c r="E2" s="7"/>
      <c r="F2" s="7">
        <v>0</v>
      </c>
      <c r="G2" s="7">
        <v>235300</v>
      </c>
      <c r="H2" s="7">
        <v>537916</v>
      </c>
      <c r="I2" s="9">
        <v>30.4658333</v>
      </c>
      <c r="J2" s="10">
        <v>689.7</v>
      </c>
      <c r="K2" s="11">
        <v>296.10000000000002</v>
      </c>
      <c r="L2" s="12">
        <f>IFERROR($H2*J2/100000,"")</f>
        <v>3710.0066520000005</v>
      </c>
      <c r="M2" s="12">
        <f>IFERROR($H2*K2/100000,"")</f>
        <v>1592.7692760000002</v>
      </c>
      <c r="N2" s="9">
        <v>49.252800000000001</v>
      </c>
      <c r="O2" s="9">
        <v>6.5515999999999996</v>
      </c>
      <c r="P2" s="15">
        <v>9.7899999999999991</v>
      </c>
      <c r="Q2" s="15">
        <v>69.055000000000007</v>
      </c>
      <c r="R2">
        <v>0.19800000000000001</v>
      </c>
      <c r="S2" s="17">
        <v>56732.310917000003</v>
      </c>
      <c r="T2">
        <v>200.77</v>
      </c>
      <c r="U2" s="41">
        <f>IFERROR($T2*$H2/1000,"")</f>
        <v>107997.39532000001</v>
      </c>
    </row>
    <row r="3" spans="1:21" x14ac:dyDescent="0.2">
      <c r="A3" s="7" t="s">
        <v>1</v>
      </c>
      <c r="B3" s="7" t="s">
        <v>24</v>
      </c>
      <c r="C3" s="8">
        <v>346453.98698679102</v>
      </c>
      <c r="D3" s="7">
        <v>1442146</v>
      </c>
      <c r="E3" s="7">
        <v>1026886</v>
      </c>
      <c r="F3" s="7">
        <v>62229</v>
      </c>
      <c r="G3" s="7">
        <v>27610</v>
      </c>
      <c r="H3" s="7">
        <v>2043741</v>
      </c>
      <c r="I3" s="9">
        <v>22.409444400000002</v>
      </c>
      <c r="J3" s="10">
        <v>689.7</v>
      </c>
      <c r="K3" s="11">
        <v>296.10000000000002</v>
      </c>
      <c r="L3" s="12">
        <f t="shared" ref="L3:L66" si="0">IFERROR($H3*J3/100000,"")</f>
        <v>14095.681677</v>
      </c>
      <c r="M3" s="12">
        <f t="shared" ref="M3:M66" si="1">IFERROR($H3*K3/100000,"")</f>
        <v>6051.5171010000004</v>
      </c>
      <c r="N3" s="9">
        <v>49.252800000000001</v>
      </c>
      <c r="O3" s="9">
        <v>6.5515999999999996</v>
      </c>
      <c r="P3" s="15">
        <v>9.7899999999999991</v>
      </c>
      <c r="Q3" s="15">
        <v>69.055000000000007</v>
      </c>
      <c r="R3">
        <v>0.19800000000000001</v>
      </c>
      <c r="S3" s="17">
        <v>56732.310917000003</v>
      </c>
      <c r="T3">
        <v>309.89299999999997</v>
      </c>
      <c r="U3" s="41">
        <f t="shared" ref="U3:U66" si="2">IFERROR($T3*$H3/1000,"")</f>
        <v>633341.02971299994</v>
      </c>
    </row>
    <row r="4" spans="1:21" x14ac:dyDescent="0.2">
      <c r="A4" s="7" t="s">
        <v>1</v>
      </c>
      <c r="B4" s="7" t="s">
        <v>25</v>
      </c>
      <c r="C4" s="7">
        <v>117611.62860519601</v>
      </c>
      <c r="D4" s="7">
        <v>468242</v>
      </c>
      <c r="E4" s="7">
        <v>275097</v>
      </c>
      <c r="F4" s="11"/>
      <c r="G4" s="11"/>
      <c r="H4" s="7">
        <v>737307</v>
      </c>
      <c r="I4" s="9">
        <v>24.222777799999999</v>
      </c>
      <c r="J4" s="10">
        <v>689.7</v>
      </c>
      <c r="K4" s="11">
        <v>296.10000000000002</v>
      </c>
      <c r="L4" s="12">
        <f t="shared" si="0"/>
        <v>5085.2063790000002</v>
      </c>
      <c r="M4" s="12">
        <f t="shared" si="1"/>
        <v>2183.1660270000002</v>
      </c>
      <c r="N4" s="9">
        <v>49.252800000000001</v>
      </c>
      <c r="O4" s="9">
        <v>6.5515999999999996</v>
      </c>
      <c r="P4" s="15">
        <v>9.7899999999999991</v>
      </c>
      <c r="Q4" s="15">
        <v>69.055000000000007</v>
      </c>
      <c r="R4">
        <v>0.19800000000000001</v>
      </c>
      <c r="S4" s="17">
        <v>56732.310917000003</v>
      </c>
      <c r="T4">
        <v>253.49700000000001</v>
      </c>
      <c r="U4" s="41">
        <f t="shared" si="2"/>
        <v>186905.11257900001</v>
      </c>
    </row>
    <row r="5" spans="1:21" x14ac:dyDescent="0.2">
      <c r="A5" s="7" t="s">
        <v>1</v>
      </c>
      <c r="B5" s="7" t="s">
        <v>223</v>
      </c>
      <c r="C5" s="8">
        <v>110068.671796209</v>
      </c>
      <c r="D5" s="7"/>
      <c r="E5" s="7"/>
      <c r="F5" s="7">
        <v>134245</v>
      </c>
      <c r="G5" s="7">
        <v>197536</v>
      </c>
      <c r="H5" s="7">
        <v>604659</v>
      </c>
      <c r="I5" s="4">
        <v>11.254</v>
      </c>
      <c r="J5" s="10">
        <v>689.7</v>
      </c>
      <c r="K5" s="11">
        <v>296.10000000000002</v>
      </c>
      <c r="L5" s="12">
        <f t="shared" si="0"/>
        <v>4170.3331230000003</v>
      </c>
      <c r="M5" s="12">
        <f t="shared" si="1"/>
        <v>1790.395299</v>
      </c>
      <c r="N5" s="9">
        <v>49.252800000000001</v>
      </c>
      <c r="O5" s="9">
        <v>6.5515999999999996</v>
      </c>
      <c r="P5" s="15">
        <v>9.7899999999999991</v>
      </c>
      <c r="Q5" s="15">
        <v>69.055000000000007</v>
      </c>
      <c r="R5">
        <v>0.19800000000000001</v>
      </c>
      <c r="S5" s="17">
        <v>56732.310917000003</v>
      </c>
      <c r="T5">
        <v>341.78800000000001</v>
      </c>
      <c r="U5" s="41">
        <f t="shared" si="2"/>
        <v>206665.19029199998</v>
      </c>
    </row>
    <row r="6" spans="1:21" x14ac:dyDescent="0.2">
      <c r="A6" s="7" t="s">
        <v>1</v>
      </c>
      <c r="B6" s="7" t="s">
        <v>224</v>
      </c>
      <c r="C6" s="8">
        <v>694473.42281721695</v>
      </c>
      <c r="D6" s="7">
        <v>88063</v>
      </c>
      <c r="E6" s="7">
        <v>43292</v>
      </c>
      <c r="F6" s="7">
        <v>134388</v>
      </c>
      <c r="G6" s="7">
        <v>65863</v>
      </c>
      <c r="H6" s="7">
        <v>2580986</v>
      </c>
      <c r="I6" s="9">
        <v>9.7437500000000004</v>
      </c>
      <c r="J6" s="10">
        <v>689.7</v>
      </c>
      <c r="K6" s="11">
        <v>296.10000000000002</v>
      </c>
      <c r="L6" s="12">
        <f t="shared" si="0"/>
        <v>17801.060442000002</v>
      </c>
      <c r="M6" s="12">
        <f t="shared" si="1"/>
        <v>7642.2995460000002</v>
      </c>
      <c r="N6" s="9">
        <v>49.252800000000001</v>
      </c>
      <c r="O6" s="9">
        <v>6.5515999999999996</v>
      </c>
      <c r="P6" s="15">
        <v>9.7899999999999991</v>
      </c>
      <c r="Q6" s="15">
        <v>69.055000000000007</v>
      </c>
      <c r="R6">
        <v>0.19800000000000001</v>
      </c>
      <c r="S6" s="17">
        <v>56732.310917000003</v>
      </c>
      <c r="T6">
        <v>354.065</v>
      </c>
      <c r="U6" s="41">
        <f t="shared" si="2"/>
        <v>913836.80809000006</v>
      </c>
    </row>
    <row r="7" spans="1:21" x14ac:dyDescent="0.2">
      <c r="A7" s="7" t="s">
        <v>1</v>
      </c>
      <c r="B7" s="7" t="s">
        <v>26</v>
      </c>
      <c r="C7" s="8">
        <v>616511.61829592998</v>
      </c>
      <c r="D7" s="7">
        <v>125195</v>
      </c>
      <c r="E7" s="7">
        <v>89663</v>
      </c>
      <c r="F7" s="11"/>
      <c r="G7" s="11"/>
      <c r="H7" s="7">
        <v>2865919</v>
      </c>
      <c r="I7" s="9">
        <v>6.3550000000000004</v>
      </c>
      <c r="J7" s="10">
        <v>689.7</v>
      </c>
      <c r="K7" s="11">
        <v>296.10000000000002</v>
      </c>
      <c r="L7" s="12">
        <f t="shared" si="0"/>
        <v>19766.243343000002</v>
      </c>
      <c r="M7" s="12">
        <f t="shared" si="1"/>
        <v>8485.9861590000019</v>
      </c>
      <c r="N7" s="9">
        <v>49.252800000000001</v>
      </c>
      <c r="O7" s="9">
        <v>6.5515999999999996</v>
      </c>
      <c r="P7" s="15">
        <v>9.7899999999999991</v>
      </c>
      <c r="Q7" s="15">
        <v>69.055000000000007</v>
      </c>
      <c r="R7">
        <v>0.19800000000000001</v>
      </c>
      <c r="S7" s="17">
        <v>56732.310917000003</v>
      </c>
      <c r="T7">
        <v>353.29300000000001</v>
      </c>
      <c r="U7" s="41">
        <f t="shared" si="2"/>
        <v>1012509.121267</v>
      </c>
    </row>
    <row r="8" spans="1:21" x14ac:dyDescent="0.2">
      <c r="A8" s="7" t="s">
        <v>1</v>
      </c>
      <c r="B8" s="7" t="s">
        <v>27</v>
      </c>
      <c r="C8" s="8">
        <v>961330.34125642898</v>
      </c>
      <c r="D8" s="7">
        <v>872419</v>
      </c>
      <c r="E8" s="7">
        <v>538474</v>
      </c>
      <c r="F8" s="7">
        <v>69808</v>
      </c>
      <c r="G8" s="7">
        <v>161848</v>
      </c>
      <c r="H8" s="7">
        <v>3463351</v>
      </c>
      <c r="I8" s="9">
        <v>2.0621429</v>
      </c>
      <c r="J8" s="10">
        <v>689.7</v>
      </c>
      <c r="K8" s="11">
        <v>296.10000000000002</v>
      </c>
      <c r="L8" s="12">
        <f t="shared" si="0"/>
        <v>23886.731847000003</v>
      </c>
      <c r="M8" s="12">
        <f t="shared" si="1"/>
        <v>10254.982311</v>
      </c>
      <c r="N8" s="9">
        <v>49.252800000000001</v>
      </c>
      <c r="O8" s="9">
        <v>6.5515999999999996</v>
      </c>
      <c r="P8" s="15">
        <v>9.7899999999999991</v>
      </c>
      <c r="Q8" s="15">
        <v>69.055000000000007</v>
      </c>
      <c r="R8">
        <v>0.19800000000000001</v>
      </c>
      <c r="S8" s="17">
        <v>56732.310917000003</v>
      </c>
      <c r="T8">
        <v>289.83999999999997</v>
      </c>
      <c r="U8" s="41">
        <f t="shared" si="2"/>
        <v>1003817.6538399999</v>
      </c>
    </row>
    <row r="9" spans="1:21" x14ac:dyDescent="0.2">
      <c r="A9" s="7" t="s">
        <v>1</v>
      </c>
      <c r="B9" s="7" t="s">
        <v>28</v>
      </c>
      <c r="C9" s="8">
        <v>139008.242342652</v>
      </c>
      <c r="D9" s="7">
        <v>68671</v>
      </c>
      <c r="E9" s="7">
        <v>44752</v>
      </c>
      <c r="F9" s="7">
        <v>514948</v>
      </c>
      <c r="G9" s="7">
        <v>195824</v>
      </c>
      <c r="H9" s="7">
        <v>750284</v>
      </c>
      <c r="I9" s="9">
        <v>1.33375</v>
      </c>
      <c r="J9" s="10">
        <v>689.7</v>
      </c>
      <c r="K9" s="11">
        <v>296.10000000000002</v>
      </c>
      <c r="L9" s="12">
        <f t="shared" si="0"/>
        <v>5174.708748</v>
      </c>
      <c r="M9" s="12">
        <f t="shared" si="1"/>
        <v>2221.5909240000001</v>
      </c>
      <c r="N9" s="9">
        <v>49.252800000000001</v>
      </c>
      <c r="O9" s="9">
        <v>6.5515999999999996</v>
      </c>
      <c r="P9" s="15">
        <v>9.7899999999999991</v>
      </c>
      <c r="Q9" s="15">
        <v>69.055000000000007</v>
      </c>
      <c r="R9">
        <v>0.19800000000000001</v>
      </c>
      <c r="S9" s="17">
        <v>56732.310917000003</v>
      </c>
      <c r="T9">
        <v>256.38900000000001</v>
      </c>
      <c r="U9" s="41">
        <f t="shared" si="2"/>
        <v>192364.564476</v>
      </c>
    </row>
    <row r="10" spans="1:21" x14ac:dyDescent="0.2">
      <c r="A10" s="7" t="s">
        <v>1</v>
      </c>
      <c r="B10" s="7" t="s">
        <v>29</v>
      </c>
      <c r="C10" s="8">
        <v>354487.75116765202</v>
      </c>
      <c r="D10" s="7">
        <v>186245</v>
      </c>
      <c r="E10" s="7">
        <v>146735</v>
      </c>
      <c r="F10" s="7">
        <v>142728</v>
      </c>
      <c r="G10" s="7">
        <v>125010</v>
      </c>
      <c r="H10" s="7">
        <v>2032514</v>
      </c>
      <c r="I10" s="9">
        <v>7.6849999999999996</v>
      </c>
      <c r="J10" s="10">
        <v>689.7</v>
      </c>
      <c r="K10" s="11">
        <v>296.10000000000002</v>
      </c>
      <c r="L10" s="12">
        <f t="shared" si="0"/>
        <v>14018.249058000001</v>
      </c>
      <c r="M10" s="12">
        <f t="shared" si="1"/>
        <v>6018.2739540000011</v>
      </c>
      <c r="N10" s="9">
        <v>49.252800000000001</v>
      </c>
      <c r="O10" s="9">
        <v>6.5515999999999996</v>
      </c>
      <c r="P10" s="15">
        <v>9.7899999999999991</v>
      </c>
      <c r="Q10" s="15">
        <v>69.055000000000007</v>
      </c>
      <c r="R10">
        <v>0.19800000000000001</v>
      </c>
      <c r="S10" s="17">
        <v>56732.310917000003</v>
      </c>
      <c r="T10">
        <v>375.28300000000002</v>
      </c>
      <c r="U10" s="41">
        <f t="shared" si="2"/>
        <v>762767.95146200003</v>
      </c>
    </row>
    <row r="11" spans="1:21" x14ac:dyDescent="0.2">
      <c r="A11" s="7" t="s">
        <v>2</v>
      </c>
      <c r="B11" s="7" t="s">
        <v>30</v>
      </c>
      <c r="C11" s="8">
        <v>523611.08859069098</v>
      </c>
      <c r="D11" s="7">
        <v>899911</v>
      </c>
      <c r="E11" s="7">
        <v>761218</v>
      </c>
      <c r="F11" s="9"/>
      <c r="G11" s="9"/>
      <c r="H11" s="13">
        <v>1092654</v>
      </c>
      <c r="I11" s="9">
        <v>0</v>
      </c>
      <c r="J11" s="10">
        <v>628.9</v>
      </c>
      <c r="K11" s="11">
        <v>225.4</v>
      </c>
      <c r="L11" s="12">
        <f t="shared" si="0"/>
        <v>6871.7010060000002</v>
      </c>
      <c r="M11" s="12">
        <f t="shared" si="1"/>
        <v>2462.8421159999998</v>
      </c>
      <c r="N11" s="9">
        <v>8.0538000000000007</v>
      </c>
      <c r="O11" s="9">
        <v>1.65</v>
      </c>
      <c r="P11" s="15">
        <v>4.0999999999999996</v>
      </c>
      <c r="Q11" s="15">
        <v>102.02500000000001</v>
      </c>
      <c r="R11">
        <v>0.19700000000000001</v>
      </c>
      <c r="S11" s="42">
        <v>182830.39981800001</v>
      </c>
      <c r="T11" s="40">
        <v>377.76299999999998</v>
      </c>
      <c r="U11" s="41">
        <f t="shared" si="2"/>
        <v>412764.25300199998</v>
      </c>
    </row>
    <row r="12" spans="1:21" x14ac:dyDescent="0.2">
      <c r="A12" s="7" t="s">
        <v>2</v>
      </c>
      <c r="B12" s="7" t="s">
        <v>31</v>
      </c>
      <c r="C12" s="8">
        <v>459453.55361755</v>
      </c>
      <c r="D12" s="7">
        <v>720007</v>
      </c>
      <c r="E12" s="7">
        <v>673607</v>
      </c>
      <c r="F12" s="9"/>
      <c r="G12" s="9"/>
      <c r="H12" s="13">
        <v>972740</v>
      </c>
      <c r="I12" s="9">
        <v>0</v>
      </c>
      <c r="J12" s="10">
        <v>628.9</v>
      </c>
      <c r="K12" s="11">
        <v>225.4</v>
      </c>
      <c r="L12" s="12">
        <f t="shared" si="0"/>
        <v>6117.5618599999998</v>
      </c>
      <c r="M12" s="12">
        <f t="shared" si="1"/>
        <v>2192.5559600000001</v>
      </c>
      <c r="N12" s="9">
        <v>8.0538000000000007</v>
      </c>
      <c r="O12" s="9">
        <v>1.65</v>
      </c>
      <c r="P12" s="15">
        <v>4.0999999999999996</v>
      </c>
      <c r="Q12" s="15">
        <v>102.02500000000001</v>
      </c>
      <c r="R12">
        <v>0.19700000000000001</v>
      </c>
      <c r="S12" s="42">
        <v>182830.39981800001</v>
      </c>
      <c r="T12" s="40">
        <v>388.75299999999999</v>
      </c>
      <c r="U12" s="41">
        <f t="shared" si="2"/>
        <v>378155.59321999998</v>
      </c>
    </row>
    <row r="13" spans="1:21" x14ac:dyDescent="0.2">
      <c r="A13" s="7" t="s">
        <v>2</v>
      </c>
      <c r="B13" s="7" t="s">
        <v>32</v>
      </c>
      <c r="C13" s="8">
        <v>805362.61613642494</v>
      </c>
      <c r="D13" s="7">
        <v>32367</v>
      </c>
      <c r="E13" s="7">
        <v>28345</v>
      </c>
      <c r="F13" s="9"/>
      <c r="G13" s="9"/>
      <c r="H13" s="13">
        <v>1761206</v>
      </c>
      <c r="I13" s="9">
        <v>0</v>
      </c>
      <c r="J13" s="10">
        <v>628.9</v>
      </c>
      <c r="K13" s="11">
        <v>225.4</v>
      </c>
      <c r="L13" s="12">
        <f t="shared" si="0"/>
        <v>11076.224533999999</v>
      </c>
      <c r="M13" s="12">
        <f t="shared" si="1"/>
        <v>3969.7583240000004</v>
      </c>
      <c r="N13" s="9">
        <v>8.0538000000000007</v>
      </c>
      <c r="O13" s="9">
        <v>1.65</v>
      </c>
      <c r="P13" s="15">
        <v>4.0999999999999996</v>
      </c>
      <c r="Q13" s="15">
        <v>102.02500000000001</v>
      </c>
      <c r="R13">
        <v>0.19700000000000001</v>
      </c>
      <c r="S13" s="42">
        <v>182830.39981800001</v>
      </c>
      <c r="T13" s="40">
        <v>353.68799999999999</v>
      </c>
      <c r="U13" s="41">
        <f t="shared" si="2"/>
        <v>622917.42772799998</v>
      </c>
    </row>
    <row r="14" spans="1:21" x14ac:dyDescent="0.2">
      <c r="A14" s="7" t="s">
        <v>2</v>
      </c>
      <c r="B14" s="7" t="s">
        <v>33</v>
      </c>
      <c r="C14" s="8">
        <v>711488.69508497301</v>
      </c>
      <c r="D14" s="7">
        <v>1259669</v>
      </c>
      <c r="E14" s="7">
        <v>1042667</v>
      </c>
      <c r="F14" s="9"/>
      <c r="G14" s="9"/>
      <c r="H14" s="13">
        <v>1529465</v>
      </c>
      <c r="I14" s="9">
        <v>0</v>
      </c>
      <c r="J14" s="10">
        <v>628.9</v>
      </c>
      <c r="K14" s="11">
        <v>225.4</v>
      </c>
      <c r="L14" s="12">
        <f t="shared" si="0"/>
        <v>9618.8053849999997</v>
      </c>
      <c r="M14" s="12">
        <f t="shared" si="1"/>
        <v>3447.4141100000002</v>
      </c>
      <c r="N14" s="9">
        <v>8.0538000000000007</v>
      </c>
      <c r="O14" s="9">
        <v>1.65</v>
      </c>
      <c r="P14" s="15">
        <v>4.0999999999999996</v>
      </c>
      <c r="Q14" s="15">
        <v>102.02500000000001</v>
      </c>
      <c r="R14">
        <v>0.19700000000000001</v>
      </c>
      <c r="S14" s="42">
        <v>182830.39981800001</v>
      </c>
      <c r="T14" s="40">
        <v>372.00099999999998</v>
      </c>
      <c r="U14" s="41">
        <f t="shared" si="2"/>
        <v>568962.50946499989</v>
      </c>
    </row>
    <row r="15" spans="1:21" x14ac:dyDescent="0.2">
      <c r="A15" s="7" t="s">
        <v>2</v>
      </c>
      <c r="B15" s="7" t="s">
        <v>34</v>
      </c>
      <c r="C15" s="7">
        <v>380559.94256502099</v>
      </c>
      <c r="D15" s="7">
        <v>744315</v>
      </c>
      <c r="E15" s="7">
        <v>614893</v>
      </c>
      <c r="F15" s="9"/>
      <c r="G15" s="9"/>
      <c r="H15" s="7">
        <v>903733</v>
      </c>
      <c r="I15" s="9">
        <v>0</v>
      </c>
      <c r="J15" s="10">
        <v>628.9</v>
      </c>
      <c r="K15" s="11">
        <v>225.4</v>
      </c>
      <c r="L15" s="12">
        <f t="shared" si="0"/>
        <v>5683.5768369999996</v>
      </c>
      <c r="M15" s="12">
        <f t="shared" si="1"/>
        <v>2037.0141820000001</v>
      </c>
      <c r="N15" s="9">
        <v>8.0538000000000007</v>
      </c>
      <c r="O15" s="9">
        <v>1.65</v>
      </c>
      <c r="P15" s="15">
        <v>4.0999999999999996</v>
      </c>
      <c r="Q15" s="15">
        <v>102.02500000000001</v>
      </c>
      <c r="R15">
        <v>0.19700000000000001</v>
      </c>
      <c r="S15" s="42">
        <v>182830.39981800001</v>
      </c>
      <c r="T15" s="40">
        <v>386.839</v>
      </c>
      <c r="U15" s="41">
        <f t="shared" si="2"/>
        <v>349599.169987</v>
      </c>
    </row>
    <row r="16" spans="1:21" x14ac:dyDescent="0.2">
      <c r="A16" s="7" t="s">
        <v>2</v>
      </c>
      <c r="B16" s="7" t="s">
        <v>35</v>
      </c>
      <c r="C16" s="8">
        <v>403346.332954805</v>
      </c>
      <c r="D16" s="7">
        <v>587470</v>
      </c>
      <c r="E16" s="7">
        <v>434102</v>
      </c>
      <c r="F16" s="9"/>
      <c r="G16" s="13"/>
      <c r="H16" s="7">
        <v>938813</v>
      </c>
      <c r="I16" s="9">
        <v>0</v>
      </c>
      <c r="J16" s="10">
        <v>628.9</v>
      </c>
      <c r="K16" s="11">
        <v>225.4</v>
      </c>
      <c r="L16" s="12">
        <f t="shared" si="0"/>
        <v>5904.1949569999997</v>
      </c>
      <c r="M16" s="12">
        <f t="shared" si="1"/>
        <v>2116.0845020000002</v>
      </c>
      <c r="N16" s="9">
        <v>8.0538000000000007</v>
      </c>
      <c r="O16" s="9">
        <v>1.65</v>
      </c>
      <c r="P16" s="15">
        <v>4.0999999999999996</v>
      </c>
      <c r="Q16" s="15">
        <v>102.02500000000001</v>
      </c>
      <c r="R16">
        <v>0.19700000000000001</v>
      </c>
      <c r="S16" s="42">
        <v>182830.39981800001</v>
      </c>
      <c r="T16" s="40">
        <v>380.46499999999997</v>
      </c>
      <c r="U16" s="41">
        <f t="shared" si="2"/>
        <v>357185.48804499995</v>
      </c>
    </row>
    <row r="17" spans="1:21" x14ac:dyDescent="0.2">
      <c r="A17" s="7" t="s">
        <v>2</v>
      </c>
      <c r="B17" s="7" t="s">
        <v>36</v>
      </c>
      <c r="C17" s="8">
        <v>317117.30166127998</v>
      </c>
      <c r="D17" s="7">
        <v>563444</v>
      </c>
      <c r="E17" s="7">
        <v>484339</v>
      </c>
      <c r="F17" s="9"/>
      <c r="G17" s="13"/>
      <c r="H17" s="7">
        <v>684124</v>
      </c>
      <c r="I17" s="9">
        <v>0</v>
      </c>
      <c r="J17" s="10">
        <v>628.9</v>
      </c>
      <c r="K17" s="11">
        <v>225.4</v>
      </c>
      <c r="L17" s="12">
        <f t="shared" si="0"/>
        <v>4302.4558360000001</v>
      </c>
      <c r="M17" s="12">
        <f t="shared" si="1"/>
        <v>1542.015496</v>
      </c>
      <c r="N17" s="9">
        <v>8.0538000000000007</v>
      </c>
      <c r="O17" s="9">
        <v>1.65</v>
      </c>
      <c r="P17" s="15">
        <v>4.0999999999999996</v>
      </c>
      <c r="Q17" s="15">
        <v>102.02500000000001</v>
      </c>
      <c r="R17">
        <v>0.19700000000000001</v>
      </c>
      <c r="S17" s="42">
        <v>182830.39981800001</v>
      </c>
      <c r="T17" s="40">
        <v>393.82900000000001</v>
      </c>
      <c r="U17" s="41">
        <f t="shared" si="2"/>
        <v>269427.870796</v>
      </c>
    </row>
    <row r="18" spans="1:21" x14ac:dyDescent="0.2">
      <c r="A18" s="7" t="s">
        <v>2</v>
      </c>
      <c r="B18" s="7" t="s">
        <v>37</v>
      </c>
      <c r="C18" s="8">
        <v>262885.25622188998</v>
      </c>
      <c r="D18" s="7">
        <v>74233</v>
      </c>
      <c r="E18" s="7">
        <v>58443</v>
      </c>
      <c r="F18" s="9"/>
      <c r="G18" s="13"/>
      <c r="H18" s="7">
        <v>626326</v>
      </c>
      <c r="I18" s="9">
        <v>0</v>
      </c>
      <c r="J18" s="10">
        <v>628.9</v>
      </c>
      <c r="K18" s="11">
        <v>225.4</v>
      </c>
      <c r="L18" s="12">
        <f t="shared" si="0"/>
        <v>3938.9642139999996</v>
      </c>
      <c r="M18" s="12">
        <f t="shared" si="1"/>
        <v>1411.7388040000001</v>
      </c>
      <c r="N18" s="9">
        <v>8.0538000000000007</v>
      </c>
      <c r="O18" s="9">
        <v>1.65</v>
      </c>
      <c r="P18" s="15">
        <v>4.0999999999999996</v>
      </c>
      <c r="Q18" s="15">
        <v>102.02500000000001</v>
      </c>
      <c r="R18">
        <v>0.19700000000000001</v>
      </c>
      <c r="S18" s="42">
        <v>182830.39981800001</v>
      </c>
      <c r="T18" s="40">
        <v>379.06299999999999</v>
      </c>
      <c r="U18" s="41">
        <f t="shared" si="2"/>
        <v>237417.01253799998</v>
      </c>
    </row>
    <row r="19" spans="1:21" x14ac:dyDescent="0.2">
      <c r="A19" s="7" t="s">
        <v>2</v>
      </c>
      <c r="B19" s="7" t="s">
        <v>38</v>
      </c>
      <c r="C19" s="7">
        <v>525653.77418327599</v>
      </c>
      <c r="D19" s="7">
        <v>46008</v>
      </c>
      <c r="E19" s="7">
        <v>36464</v>
      </c>
      <c r="F19" s="9"/>
      <c r="G19" s="13"/>
      <c r="H19" s="7">
        <v>1438490</v>
      </c>
      <c r="I19" s="9">
        <v>0</v>
      </c>
      <c r="J19" s="10">
        <v>628.9</v>
      </c>
      <c r="K19" s="11">
        <v>225.4</v>
      </c>
      <c r="L19" s="12">
        <f t="shared" si="0"/>
        <v>9046.6636099999996</v>
      </c>
      <c r="M19" s="12">
        <f t="shared" si="1"/>
        <v>3242.35646</v>
      </c>
      <c r="N19" s="9">
        <v>8.0538000000000007</v>
      </c>
      <c r="O19" s="9">
        <v>1.65</v>
      </c>
      <c r="P19" s="15">
        <v>4.0999999999999996</v>
      </c>
      <c r="Q19" s="15">
        <v>102.02500000000001</v>
      </c>
      <c r="R19">
        <v>0.19700000000000001</v>
      </c>
      <c r="S19" s="42">
        <v>182830.39981800001</v>
      </c>
      <c r="T19" s="40">
        <v>322.99200000000002</v>
      </c>
      <c r="U19" s="41">
        <f t="shared" si="2"/>
        <v>464620.76208000001</v>
      </c>
    </row>
    <row r="20" spans="1:21" x14ac:dyDescent="0.2">
      <c r="A20" s="7" t="s">
        <v>2</v>
      </c>
      <c r="B20" s="7" t="s">
        <v>39</v>
      </c>
      <c r="C20" s="8">
        <v>365150.00752435502</v>
      </c>
      <c r="D20" s="7">
        <v>283869</v>
      </c>
      <c r="E20" s="7">
        <v>224604</v>
      </c>
      <c r="F20" s="9"/>
      <c r="G20" s="13"/>
      <c r="H20" s="7">
        <v>783938</v>
      </c>
      <c r="I20" s="9">
        <v>0</v>
      </c>
      <c r="J20" s="10">
        <v>628.9</v>
      </c>
      <c r="K20" s="11">
        <v>225.4</v>
      </c>
      <c r="L20" s="12">
        <f t="shared" si="0"/>
        <v>4930.1860820000002</v>
      </c>
      <c r="M20" s="12">
        <f t="shared" si="1"/>
        <v>1766.9962520000001</v>
      </c>
      <c r="N20" s="9">
        <v>8.0538000000000007</v>
      </c>
      <c r="O20" s="9">
        <v>1.65</v>
      </c>
      <c r="P20" s="15">
        <v>4.0999999999999996</v>
      </c>
      <c r="Q20" s="15">
        <v>102.02500000000001</v>
      </c>
      <c r="R20">
        <v>0.19700000000000001</v>
      </c>
      <c r="S20" s="42">
        <v>182830.39981800001</v>
      </c>
      <c r="T20" s="40">
        <v>396.75299999999999</v>
      </c>
      <c r="U20" s="41">
        <f t="shared" si="2"/>
        <v>311029.75331400003</v>
      </c>
    </row>
    <row r="21" spans="1:21" x14ac:dyDescent="0.2">
      <c r="A21" s="7" t="s">
        <v>2</v>
      </c>
      <c r="B21" s="7" t="s">
        <v>40</v>
      </c>
      <c r="C21" s="8">
        <v>448421.72126151703</v>
      </c>
      <c r="D21" s="7">
        <v>562159</v>
      </c>
      <c r="E21" s="7">
        <v>481134</v>
      </c>
      <c r="F21" s="9"/>
      <c r="G21" s="13"/>
      <c r="H21" s="7">
        <v>1072649</v>
      </c>
      <c r="I21" s="9">
        <v>0</v>
      </c>
      <c r="J21" s="10">
        <v>628.9</v>
      </c>
      <c r="K21" s="11">
        <v>225.4</v>
      </c>
      <c r="L21" s="12">
        <f t="shared" si="0"/>
        <v>6745.889561</v>
      </c>
      <c r="M21" s="12">
        <f t="shared" si="1"/>
        <v>2417.7508459999999</v>
      </c>
      <c r="N21" s="9">
        <v>8.0538000000000007</v>
      </c>
      <c r="O21" s="9">
        <v>1.65</v>
      </c>
      <c r="P21" s="15">
        <v>4.0999999999999996</v>
      </c>
      <c r="Q21" s="15">
        <v>102.02500000000001</v>
      </c>
      <c r="R21">
        <v>0.19700000000000001</v>
      </c>
      <c r="S21" s="42">
        <v>182830.39981800001</v>
      </c>
      <c r="T21" s="40">
        <v>363.11700000000002</v>
      </c>
      <c r="U21" s="41">
        <f t="shared" si="2"/>
        <v>389497.08693300001</v>
      </c>
    </row>
    <row r="22" spans="1:21" x14ac:dyDescent="0.2">
      <c r="A22" s="7" t="s">
        <v>3</v>
      </c>
      <c r="B22" s="7" t="s">
        <v>41</v>
      </c>
      <c r="C22" s="8">
        <v>310345.08087875799</v>
      </c>
      <c r="D22" s="7">
        <v>62326</v>
      </c>
      <c r="E22" s="7">
        <v>62322</v>
      </c>
      <c r="F22" s="13"/>
      <c r="G22" s="13"/>
      <c r="H22" s="7">
        <v>940692</v>
      </c>
      <c r="I22" s="9">
        <v>0</v>
      </c>
      <c r="J22" s="10">
        <v>2209.5</v>
      </c>
      <c r="K22" s="11">
        <v>427.2</v>
      </c>
      <c r="L22" s="12">
        <f t="shared" si="0"/>
        <v>20784.589739999999</v>
      </c>
      <c r="M22" s="12">
        <f t="shared" si="1"/>
        <v>4018.6362239999999</v>
      </c>
      <c r="N22" s="9">
        <v>6.5465999999999998</v>
      </c>
      <c r="O22" s="9">
        <v>1.4118999999999999</v>
      </c>
      <c r="P22" s="15">
        <v>4.0999999999999996</v>
      </c>
      <c r="Q22" s="15">
        <v>102.02500000000001</v>
      </c>
      <c r="R22">
        <v>0.221</v>
      </c>
      <c r="S22" s="17">
        <v>1178887.01125</v>
      </c>
      <c r="T22" s="40">
        <v>249.441</v>
      </c>
      <c r="U22" s="41">
        <f t="shared" si="2"/>
        <v>234647.15317199999</v>
      </c>
    </row>
    <row r="23" spans="1:21" x14ac:dyDescent="0.2">
      <c r="A23" s="7" t="s">
        <v>3</v>
      </c>
      <c r="B23" s="7" t="s">
        <v>42</v>
      </c>
      <c r="C23" s="8">
        <v>283876.61181499599</v>
      </c>
      <c r="D23" s="7">
        <v>165625</v>
      </c>
      <c r="E23" s="7">
        <v>164321</v>
      </c>
      <c r="F23" s="7">
        <f>SUM(55716+101548)</f>
        <v>157264</v>
      </c>
      <c r="G23" s="7">
        <f>SUM(55716+100862)</f>
        <v>156578</v>
      </c>
      <c r="H23" s="7">
        <v>1013635</v>
      </c>
      <c r="I23" s="9">
        <v>0</v>
      </c>
      <c r="J23" s="10">
        <v>2209.5</v>
      </c>
      <c r="K23" s="11">
        <v>427.2</v>
      </c>
      <c r="L23" s="12">
        <f t="shared" si="0"/>
        <v>22396.265325</v>
      </c>
      <c r="M23" s="12">
        <f t="shared" si="1"/>
        <v>4330.2487199999996</v>
      </c>
      <c r="N23" s="9">
        <v>6.5465999999999998</v>
      </c>
      <c r="O23" s="9">
        <v>1.4118999999999999</v>
      </c>
      <c r="P23" s="15">
        <v>4.0999999999999996</v>
      </c>
      <c r="Q23" s="15">
        <v>102.02500000000001</v>
      </c>
      <c r="R23">
        <v>0.221</v>
      </c>
      <c r="S23" s="17">
        <v>1178887.01125</v>
      </c>
      <c r="T23" s="40">
        <v>279.39299999999997</v>
      </c>
      <c r="U23" s="41">
        <f t="shared" si="2"/>
        <v>283202.52355499996</v>
      </c>
    </row>
    <row r="24" spans="1:21" x14ac:dyDescent="0.2">
      <c r="A24" s="7" t="s">
        <v>4</v>
      </c>
      <c r="B24" s="7" t="s">
        <v>43</v>
      </c>
      <c r="C24" s="8">
        <v>124263.96839815901</v>
      </c>
      <c r="D24" s="7">
        <v>568093</v>
      </c>
      <c r="E24" s="7">
        <v>464384</v>
      </c>
      <c r="F24" s="7"/>
      <c r="G24" s="7"/>
      <c r="H24" s="7">
        <v>560452</v>
      </c>
      <c r="I24" s="9">
        <v>0</v>
      </c>
      <c r="J24" s="10">
        <v>1081.3</v>
      </c>
      <c r="K24" s="11">
        <v>337.5</v>
      </c>
      <c r="L24" s="12">
        <f t="shared" si="0"/>
        <v>6060.1674760000005</v>
      </c>
      <c r="M24" s="12">
        <f t="shared" si="1"/>
        <v>1891.5255</v>
      </c>
      <c r="N24" s="9">
        <v>1.8829</v>
      </c>
      <c r="O24" s="9">
        <v>0.54359999999999997</v>
      </c>
      <c r="P24" s="15">
        <v>3.18</v>
      </c>
      <c r="Q24" s="15">
        <v>36.034999999999997</v>
      </c>
      <c r="R24">
        <v>0.16400000000000001</v>
      </c>
      <c r="S24" s="17">
        <v>349502.264042</v>
      </c>
      <c r="T24">
        <v>236.61</v>
      </c>
      <c r="U24" s="41">
        <f t="shared" si="2"/>
        <v>132608.54772</v>
      </c>
    </row>
    <row r="25" spans="1:21" x14ac:dyDescent="0.2">
      <c r="A25" s="7" t="s">
        <v>4</v>
      </c>
      <c r="B25" s="7" t="s">
        <v>44</v>
      </c>
      <c r="C25" s="8">
        <v>209761.06865389799</v>
      </c>
      <c r="D25" s="7">
        <v>89366</v>
      </c>
      <c r="E25" s="7">
        <v>73166</v>
      </c>
      <c r="F25" s="11"/>
      <c r="G25" s="7"/>
      <c r="H25" s="7">
        <v>824315</v>
      </c>
      <c r="I25" s="9">
        <v>0</v>
      </c>
      <c r="J25" s="10">
        <v>1081.3</v>
      </c>
      <c r="K25" s="11">
        <v>337.5</v>
      </c>
      <c r="L25" s="12">
        <f t="shared" si="0"/>
        <v>8913.3180950000005</v>
      </c>
      <c r="M25" s="12">
        <f t="shared" si="1"/>
        <v>2782.0631250000001</v>
      </c>
      <c r="N25" s="9">
        <v>1.8829</v>
      </c>
      <c r="O25" s="9">
        <v>0.54359999999999997</v>
      </c>
      <c r="P25" s="15">
        <v>3.18</v>
      </c>
      <c r="Q25" s="15">
        <v>36.034999999999997</v>
      </c>
      <c r="R25">
        <v>0.16400000000000001</v>
      </c>
      <c r="S25" s="17">
        <v>349502.264042</v>
      </c>
      <c r="T25">
        <v>202.345</v>
      </c>
      <c r="U25" s="41">
        <f t="shared" si="2"/>
        <v>166796.018675</v>
      </c>
    </row>
    <row r="26" spans="1:21" x14ac:dyDescent="0.2">
      <c r="A26" s="7" t="s">
        <v>4</v>
      </c>
      <c r="B26" s="7" t="s">
        <v>45</v>
      </c>
      <c r="C26" s="8">
        <v>33985.556918234499</v>
      </c>
      <c r="D26" s="7">
        <v>458839</v>
      </c>
      <c r="E26" s="7">
        <v>373471</v>
      </c>
      <c r="F26" s="11"/>
      <c r="G26" s="7"/>
      <c r="H26" s="7">
        <v>856945</v>
      </c>
      <c r="I26" s="9">
        <v>0</v>
      </c>
      <c r="J26" s="10">
        <v>1081.3</v>
      </c>
      <c r="K26" s="11">
        <v>337.5</v>
      </c>
      <c r="L26" s="12">
        <f t="shared" si="0"/>
        <v>9266.1462850000007</v>
      </c>
      <c r="M26" s="12">
        <f t="shared" si="1"/>
        <v>2892.1893749999999</v>
      </c>
      <c r="N26" s="9">
        <v>1.8829</v>
      </c>
      <c r="O26" s="9">
        <v>0.54359999999999997</v>
      </c>
      <c r="P26" s="15">
        <v>3.18</v>
      </c>
      <c r="Q26" s="15">
        <v>36.034999999999997</v>
      </c>
      <c r="R26">
        <v>0.16400000000000001</v>
      </c>
      <c r="S26" s="17">
        <v>349502.264042</v>
      </c>
      <c r="T26">
        <v>58.527999999999999</v>
      </c>
      <c r="U26" s="41">
        <f t="shared" si="2"/>
        <v>50155.276960000003</v>
      </c>
    </row>
    <row r="27" spans="1:21" x14ac:dyDescent="0.2">
      <c r="A27" s="7" t="s">
        <v>4</v>
      </c>
      <c r="B27" s="7" t="s">
        <v>46</v>
      </c>
      <c r="C27" s="8">
        <v>183081.598351678</v>
      </c>
      <c r="D27" s="7">
        <v>814665</v>
      </c>
      <c r="E27" s="7">
        <v>666112</v>
      </c>
      <c r="F27" s="11"/>
      <c r="G27" s="7"/>
      <c r="H27" s="7">
        <v>763414</v>
      </c>
      <c r="I27" s="9">
        <v>0</v>
      </c>
      <c r="J27" s="10">
        <v>1081.3</v>
      </c>
      <c r="K27" s="11">
        <v>337.5</v>
      </c>
      <c r="L27" s="12">
        <f t="shared" si="0"/>
        <v>8254.7955819999988</v>
      </c>
      <c r="M27" s="12">
        <f t="shared" si="1"/>
        <v>2576.52225</v>
      </c>
      <c r="N27" s="9">
        <v>1.8829</v>
      </c>
      <c r="O27" s="9">
        <v>0.54359999999999997</v>
      </c>
      <c r="P27" s="15">
        <v>3.18</v>
      </c>
      <c r="Q27" s="15">
        <v>36.034999999999997</v>
      </c>
      <c r="R27">
        <v>0.16400000000000001</v>
      </c>
      <c r="S27" s="17">
        <v>349502.264042</v>
      </c>
      <c r="T27">
        <v>228.41499999999999</v>
      </c>
      <c r="U27" s="41">
        <f t="shared" si="2"/>
        <v>174375.20881000001</v>
      </c>
    </row>
    <row r="28" spans="1:21" x14ac:dyDescent="0.2">
      <c r="A28" s="7" t="s">
        <v>4</v>
      </c>
      <c r="B28" s="7" t="s">
        <v>47</v>
      </c>
      <c r="C28" s="8">
        <v>165715.68966943701</v>
      </c>
      <c r="D28" s="7">
        <v>80692</v>
      </c>
      <c r="E28" s="7">
        <v>67208</v>
      </c>
      <c r="F28" s="11"/>
      <c r="G28" s="7"/>
      <c r="H28" s="7">
        <v>714443</v>
      </c>
      <c r="I28" s="9">
        <v>0</v>
      </c>
      <c r="J28" s="10">
        <v>1081.3</v>
      </c>
      <c r="K28" s="11">
        <v>337.5</v>
      </c>
      <c r="L28" s="12">
        <f t="shared" si="0"/>
        <v>7725.2721590000001</v>
      </c>
      <c r="M28" s="12">
        <f t="shared" si="1"/>
        <v>2411.2451249999999</v>
      </c>
      <c r="N28" s="9">
        <v>1.8829</v>
      </c>
      <c r="O28" s="9">
        <v>0.54359999999999997</v>
      </c>
      <c r="P28" s="15">
        <v>3.18</v>
      </c>
      <c r="Q28" s="15">
        <v>36.034999999999997</v>
      </c>
      <c r="R28">
        <v>0.16400000000000001</v>
      </c>
      <c r="S28" s="17">
        <v>349502.264042</v>
      </c>
      <c r="T28">
        <v>231.173</v>
      </c>
      <c r="U28" s="41">
        <f t="shared" si="2"/>
        <v>165159.93163899999</v>
      </c>
    </row>
    <row r="29" spans="1:21" x14ac:dyDescent="0.2">
      <c r="A29" s="7" t="s">
        <v>4</v>
      </c>
      <c r="B29" s="7" t="s">
        <v>48</v>
      </c>
      <c r="C29" s="8">
        <v>171153.97994498999</v>
      </c>
      <c r="D29" s="7">
        <v>361670</v>
      </c>
      <c r="E29" s="7">
        <v>292886</v>
      </c>
      <c r="F29" s="11"/>
      <c r="G29" s="13"/>
      <c r="H29" s="7">
        <v>552970</v>
      </c>
      <c r="I29" s="9">
        <v>0</v>
      </c>
      <c r="J29" s="10">
        <v>1081.3</v>
      </c>
      <c r="K29" s="11">
        <v>337.5</v>
      </c>
      <c r="L29" s="12">
        <f t="shared" si="0"/>
        <v>5979.2646100000002</v>
      </c>
      <c r="M29" s="12">
        <f t="shared" si="1"/>
        <v>1866.2737500000001</v>
      </c>
      <c r="N29" s="9">
        <v>1.8829</v>
      </c>
      <c r="O29" s="9">
        <v>0.54359999999999997</v>
      </c>
      <c r="P29" s="15">
        <v>3.18</v>
      </c>
      <c r="Q29" s="15">
        <v>36.034999999999997</v>
      </c>
      <c r="R29">
        <v>0.16400000000000001</v>
      </c>
      <c r="S29" s="17">
        <v>349502.264042</v>
      </c>
      <c r="T29">
        <v>247.81200000000001</v>
      </c>
      <c r="U29" s="41">
        <f t="shared" si="2"/>
        <v>137032.60164000001</v>
      </c>
    </row>
    <row r="30" spans="1:21" x14ac:dyDescent="0.2">
      <c r="A30" s="7" t="s">
        <v>5</v>
      </c>
      <c r="B30" s="7" t="s">
        <v>49</v>
      </c>
      <c r="C30" s="8">
        <v>450062.57833411702</v>
      </c>
      <c r="D30" s="7">
        <v>291555</v>
      </c>
      <c r="E30" s="7">
        <v>144005</v>
      </c>
      <c r="F30" s="9"/>
      <c r="G30" s="13"/>
      <c r="H30" s="7">
        <v>1469352</v>
      </c>
      <c r="I30" s="9">
        <v>56.433666666999997</v>
      </c>
      <c r="J30" s="10">
        <v>1829</v>
      </c>
      <c r="K30" s="11">
        <v>240.1</v>
      </c>
      <c r="L30" s="12">
        <f t="shared" si="0"/>
        <v>26874.448079999998</v>
      </c>
      <c r="M30" s="12">
        <f t="shared" si="1"/>
        <v>3527.9141519999998</v>
      </c>
      <c r="N30" s="9">
        <v>13.735200000000001</v>
      </c>
      <c r="O30" s="9">
        <v>2.4918</v>
      </c>
      <c r="P30" s="15">
        <v>9.7899999999999991</v>
      </c>
      <c r="Q30" s="15">
        <v>69.050000000000011</v>
      </c>
      <c r="R30">
        <v>0.128</v>
      </c>
      <c r="S30" s="17">
        <v>291013.33340599999</v>
      </c>
      <c r="T30">
        <v>338.012</v>
      </c>
      <c r="U30" s="41">
        <f t="shared" si="2"/>
        <v>496658.60822399997</v>
      </c>
    </row>
    <row r="31" spans="1:21" x14ac:dyDescent="0.2">
      <c r="A31" s="7" t="s">
        <v>5</v>
      </c>
      <c r="B31" s="7" t="s">
        <v>50</v>
      </c>
      <c r="C31" s="8">
        <v>1421022.81724182</v>
      </c>
      <c r="D31" s="7">
        <v>601341</v>
      </c>
      <c r="E31" s="7">
        <v>378419</v>
      </c>
      <c r="F31" s="9"/>
      <c r="G31" s="13"/>
      <c r="H31" s="7">
        <v>5358825</v>
      </c>
      <c r="I31" s="9">
        <v>1.5151520000000001E-3</v>
      </c>
      <c r="J31" s="10">
        <v>1829</v>
      </c>
      <c r="K31" s="11">
        <v>240.1</v>
      </c>
      <c r="L31" s="12">
        <f t="shared" si="0"/>
        <v>98012.909249999997</v>
      </c>
      <c r="M31" s="12">
        <f t="shared" si="1"/>
        <v>12866.538825</v>
      </c>
      <c r="N31" s="9">
        <v>13.735200000000001</v>
      </c>
      <c r="O31" s="9">
        <v>2.4918</v>
      </c>
      <c r="P31" s="15">
        <v>9.7899999999999991</v>
      </c>
      <c r="Q31" s="15">
        <v>69.050000000000011</v>
      </c>
      <c r="R31">
        <v>0.128</v>
      </c>
      <c r="S31" s="17">
        <v>291013.33340599999</v>
      </c>
      <c r="T31">
        <v>239.30600000000001</v>
      </c>
      <c r="U31" s="41">
        <f t="shared" si="2"/>
        <v>1282398.97545</v>
      </c>
    </row>
    <row r="32" spans="1:21" x14ac:dyDescent="0.2">
      <c r="A32" s="7" t="s">
        <v>5</v>
      </c>
      <c r="B32" s="7" t="s">
        <v>51</v>
      </c>
      <c r="C32" s="8">
        <v>1429297.52805546</v>
      </c>
      <c r="D32" s="7">
        <v>684587</v>
      </c>
      <c r="E32" s="7">
        <v>396616</v>
      </c>
      <c r="F32" s="9"/>
      <c r="G32" s="13"/>
      <c r="H32" s="7">
        <v>4487972</v>
      </c>
      <c r="I32" s="9">
        <v>31.910833332999999</v>
      </c>
      <c r="J32" s="10">
        <v>1829</v>
      </c>
      <c r="K32" s="11">
        <v>240.1</v>
      </c>
      <c r="L32" s="12">
        <f t="shared" si="0"/>
        <v>82085.007880000005</v>
      </c>
      <c r="M32" s="12">
        <f t="shared" si="1"/>
        <v>10775.620772</v>
      </c>
      <c r="N32" s="9">
        <v>13.735200000000001</v>
      </c>
      <c r="O32" s="9">
        <v>2.4918</v>
      </c>
      <c r="P32" s="15">
        <v>9.7899999999999991</v>
      </c>
      <c r="Q32" s="15">
        <v>69.050000000000011</v>
      </c>
      <c r="R32">
        <v>0.128</v>
      </c>
      <c r="S32" s="17">
        <v>291013.33340599999</v>
      </c>
      <c r="T32">
        <v>259.30900000000003</v>
      </c>
      <c r="U32" s="41">
        <f t="shared" si="2"/>
        <v>1163771.531348</v>
      </c>
    </row>
    <row r="33" spans="1:21" x14ac:dyDescent="0.2">
      <c r="A33" s="7" t="s">
        <v>5</v>
      </c>
      <c r="B33" s="7" t="s">
        <v>52</v>
      </c>
      <c r="C33" s="8">
        <v>1029496.37035515</v>
      </c>
      <c r="D33" s="7">
        <v>1271317</v>
      </c>
      <c r="E33" s="7">
        <v>946109</v>
      </c>
      <c r="F33" s="9"/>
      <c r="G33" s="13"/>
      <c r="H33" s="7">
        <v>3242725</v>
      </c>
      <c r="I33" s="9">
        <v>0.801666667</v>
      </c>
      <c r="J33" s="10">
        <v>1829</v>
      </c>
      <c r="K33" s="11">
        <v>240.1</v>
      </c>
      <c r="L33" s="12">
        <f t="shared" si="0"/>
        <v>59309.44025</v>
      </c>
      <c r="M33" s="12">
        <f t="shared" si="1"/>
        <v>7785.782725</v>
      </c>
      <c r="N33" s="9">
        <v>13.735200000000001</v>
      </c>
      <c r="O33" s="9">
        <v>2.4918</v>
      </c>
      <c r="P33" s="15">
        <v>9.7899999999999991</v>
      </c>
      <c r="Q33" s="15">
        <v>69.050000000000011</v>
      </c>
      <c r="R33">
        <v>0.128</v>
      </c>
      <c r="S33" s="17">
        <v>291013.33340599999</v>
      </c>
      <c r="T33">
        <v>262.45400000000001</v>
      </c>
      <c r="U33" s="41">
        <f t="shared" si="2"/>
        <v>851066.14714999998</v>
      </c>
    </row>
    <row r="34" spans="1:21" x14ac:dyDescent="0.2">
      <c r="A34" s="7" t="s">
        <v>5</v>
      </c>
      <c r="B34" s="7" t="s">
        <v>53</v>
      </c>
      <c r="C34" s="8">
        <v>600703.30353529099</v>
      </c>
      <c r="D34" s="7">
        <v>1692293</v>
      </c>
      <c r="E34" s="7">
        <v>1171244</v>
      </c>
      <c r="F34" s="9"/>
      <c r="G34" s="13"/>
      <c r="H34" s="7">
        <v>2048193</v>
      </c>
      <c r="I34" s="9">
        <v>21.452857142999999</v>
      </c>
      <c r="J34" s="10">
        <v>1829</v>
      </c>
      <c r="K34" s="11">
        <v>240.1</v>
      </c>
      <c r="L34" s="12">
        <f t="shared" si="0"/>
        <v>37461.449970000001</v>
      </c>
      <c r="M34" s="12">
        <f t="shared" si="1"/>
        <v>4917.7113930000005</v>
      </c>
      <c r="N34" s="9">
        <v>13.735200000000001</v>
      </c>
      <c r="O34" s="9">
        <v>2.4918</v>
      </c>
      <c r="P34" s="15">
        <v>9.7899999999999991</v>
      </c>
      <c r="Q34" s="15">
        <v>69.050000000000011</v>
      </c>
      <c r="R34">
        <v>0.128</v>
      </c>
      <c r="S34" s="17">
        <v>291013.33340599999</v>
      </c>
      <c r="T34">
        <v>210.50899999999999</v>
      </c>
      <c r="U34" s="41">
        <f t="shared" si="2"/>
        <v>431163.060237</v>
      </c>
    </row>
    <row r="35" spans="1:21" x14ac:dyDescent="0.2">
      <c r="A35" s="7" t="s">
        <v>5</v>
      </c>
      <c r="B35" s="7" t="s">
        <v>54</v>
      </c>
      <c r="C35" s="8">
        <v>550840.04745502095</v>
      </c>
      <c r="D35" s="7">
        <v>2067374</v>
      </c>
      <c r="E35" s="7">
        <v>2127572</v>
      </c>
      <c r="F35" s="9"/>
      <c r="G35" s="13"/>
      <c r="H35" s="7">
        <v>2514133</v>
      </c>
      <c r="I35" s="9">
        <v>20.628250000000001</v>
      </c>
      <c r="J35" s="10">
        <v>1829</v>
      </c>
      <c r="K35" s="11">
        <v>240.1</v>
      </c>
      <c r="L35" s="12">
        <f t="shared" si="0"/>
        <v>45983.492570000002</v>
      </c>
      <c r="M35" s="12">
        <f t="shared" si="1"/>
        <v>6036.4333329999999</v>
      </c>
      <c r="N35" s="9">
        <v>13.735200000000001</v>
      </c>
      <c r="O35" s="9">
        <v>2.4918</v>
      </c>
      <c r="P35" s="15">
        <v>9.7899999999999991</v>
      </c>
      <c r="Q35" s="15">
        <v>69.050000000000011</v>
      </c>
      <c r="R35">
        <v>0.128</v>
      </c>
      <c r="S35" s="17">
        <v>291013.33340599999</v>
      </c>
      <c r="T35">
        <v>206.93600000000001</v>
      </c>
      <c r="U35" s="41">
        <f t="shared" si="2"/>
        <v>520264.62648800004</v>
      </c>
    </row>
    <row r="36" spans="1:21" x14ac:dyDescent="0.2">
      <c r="A36" s="7" t="s">
        <v>5</v>
      </c>
      <c r="B36" s="7" t="s">
        <v>55</v>
      </c>
      <c r="C36" s="8">
        <v>468814.07240991603</v>
      </c>
      <c r="D36" s="7">
        <v>399523</v>
      </c>
      <c r="E36" s="7">
        <v>313795</v>
      </c>
      <c r="F36" s="9"/>
      <c r="G36" s="13"/>
      <c r="H36" s="7">
        <v>983486</v>
      </c>
      <c r="I36" s="9">
        <v>62.146538462000002</v>
      </c>
      <c r="J36" s="10">
        <v>1829</v>
      </c>
      <c r="K36" s="11">
        <v>240.1</v>
      </c>
      <c r="L36" s="12">
        <f t="shared" si="0"/>
        <v>17987.95894</v>
      </c>
      <c r="M36" s="12">
        <f t="shared" si="1"/>
        <v>2361.349886</v>
      </c>
      <c r="N36" s="9">
        <v>13.735200000000001</v>
      </c>
      <c r="O36" s="9">
        <v>2.4918</v>
      </c>
      <c r="P36" s="15">
        <v>9.7899999999999991</v>
      </c>
      <c r="Q36" s="15">
        <v>69.050000000000011</v>
      </c>
      <c r="R36">
        <v>0.128</v>
      </c>
      <c r="S36" s="17">
        <v>291013.33340599999</v>
      </c>
      <c r="T36">
        <v>385.60199999999998</v>
      </c>
      <c r="U36" s="41">
        <f t="shared" si="2"/>
        <v>379234.168572</v>
      </c>
    </row>
    <row r="37" spans="1:21" x14ac:dyDescent="0.2">
      <c r="A37" s="7" t="s">
        <v>5</v>
      </c>
      <c r="B37" s="7" t="s">
        <v>56</v>
      </c>
      <c r="C37" s="8">
        <v>646521.33147479699</v>
      </c>
      <c r="D37" s="7">
        <v>1751337</v>
      </c>
      <c r="E37" s="7">
        <v>1150588</v>
      </c>
      <c r="F37" s="9"/>
      <c r="G37" s="13"/>
      <c r="H37" s="7">
        <v>2090068</v>
      </c>
      <c r="I37" s="9">
        <v>18.131428571000001</v>
      </c>
      <c r="J37" s="10">
        <v>1829</v>
      </c>
      <c r="K37" s="11">
        <v>240.1</v>
      </c>
      <c r="L37" s="12">
        <f t="shared" si="0"/>
        <v>38227.343719999997</v>
      </c>
      <c r="M37" s="12">
        <f t="shared" si="1"/>
        <v>5018.2532680000004</v>
      </c>
      <c r="N37" s="9">
        <v>13.735200000000001</v>
      </c>
      <c r="O37" s="9">
        <v>2.4918</v>
      </c>
      <c r="P37" s="15">
        <v>9.7899999999999991</v>
      </c>
      <c r="Q37" s="15">
        <v>69.050000000000011</v>
      </c>
      <c r="R37">
        <v>0.128</v>
      </c>
      <c r="S37" s="17">
        <v>291013.33340599999</v>
      </c>
      <c r="T37">
        <v>262.37599999999998</v>
      </c>
      <c r="U37" s="41">
        <f t="shared" si="2"/>
        <v>548383.681568</v>
      </c>
    </row>
    <row r="38" spans="1:21" x14ac:dyDescent="0.2">
      <c r="A38" s="7" t="s">
        <v>6</v>
      </c>
      <c r="B38" s="7" t="s">
        <v>57</v>
      </c>
      <c r="C38" s="8">
        <v>167184.755820864</v>
      </c>
      <c r="D38" s="7"/>
      <c r="E38" s="13"/>
      <c r="F38" s="7">
        <v>465057</v>
      </c>
      <c r="G38" s="7">
        <v>427353</v>
      </c>
      <c r="H38" s="7">
        <v>1121837</v>
      </c>
      <c r="I38" s="9">
        <v>38.100625000000001</v>
      </c>
      <c r="J38" s="10">
        <v>204.9</v>
      </c>
      <c r="K38" s="11">
        <v>146.19999999999999</v>
      </c>
      <c r="L38" s="12">
        <f t="shared" si="0"/>
        <v>2298.6440130000001</v>
      </c>
      <c r="M38" s="12">
        <f t="shared" si="1"/>
        <v>1640.1256939999998</v>
      </c>
      <c r="N38" s="9">
        <v>8.5411000000000001</v>
      </c>
      <c r="O38" s="9">
        <v>1.7770999999999999</v>
      </c>
      <c r="P38" s="15">
        <v>9.75</v>
      </c>
      <c r="Q38" s="15">
        <v>36.034999999999997</v>
      </c>
      <c r="R38">
        <v>0.36</v>
      </c>
      <c r="S38" s="17">
        <v>188934.20975000001</v>
      </c>
      <c r="T38">
        <v>164.084</v>
      </c>
      <c r="U38" s="41">
        <f t="shared" si="2"/>
        <v>184075.502308</v>
      </c>
    </row>
    <row r="39" spans="1:21" x14ac:dyDescent="0.2">
      <c r="A39" s="7" t="s">
        <v>6</v>
      </c>
      <c r="B39" s="7" t="s">
        <v>58</v>
      </c>
      <c r="C39" s="8">
        <v>290005.92668397003</v>
      </c>
      <c r="D39" s="7"/>
      <c r="E39" s="13"/>
      <c r="F39" s="7">
        <v>1191962</v>
      </c>
      <c r="G39" s="7">
        <v>978347</v>
      </c>
      <c r="H39" s="7">
        <v>1290288</v>
      </c>
      <c r="I39" s="9">
        <v>19.405454550000002</v>
      </c>
      <c r="J39" s="10">
        <v>204.9</v>
      </c>
      <c r="K39" s="11">
        <v>146.19999999999999</v>
      </c>
      <c r="L39" s="12">
        <f t="shared" si="0"/>
        <v>2643.8001120000004</v>
      </c>
      <c r="M39" s="12">
        <f t="shared" si="1"/>
        <v>1886.4010559999999</v>
      </c>
      <c r="N39" s="9">
        <v>8.5411000000000001</v>
      </c>
      <c r="O39" s="9">
        <v>1.7770999999999999</v>
      </c>
      <c r="P39" s="15">
        <v>9.75</v>
      </c>
      <c r="Q39" s="15">
        <v>36.034999999999997</v>
      </c>
      <c r="R39">
        <v>0.36</v>
      </c>
      <c r="S39" s="17">
        <v>188934.20975000001</v>
      </c>
      <c r="T39">
        <v>191.04</v>
      </c>
      <c r="U39" s="41">
        <f t="shared" si="2"/>
        <v>246496.61951999998</v>
      </c>
    </row>
    <row r="40" spans="1:21" x14ac:dyDescent="0.2">
      <c r="A40" s="7" t="s">
        <v>6</v>
      </c>
      <c r="B40" s="7" t="s">
        <v>59</v>
      </c>
      <c r="C40" s="8">
        <v>236891.880273905</v>
      </c>
      <c r="D40" s="7">
        <v>672758</v>
      </c>
      <c r="E40" s="7">
        <v>574123</v>
      </c>
      <c r="F40" s="7">
        <v>270934</v>
      </c>
      <c r="G40" s="7">
        <v>216104</v>
      </c>
      <c r="H40" s="7">
        <v>1290288</v>
      </c>
      <c r="I40" s="38">
        <v>15.008333329999999</v>
      </c>
      <c r="J40" s="10">
        <v>204.9</v>
      </c>
      <c r="K40" s="11">
        <v>146.19999999999999</v>
      </c>
      <c r="L40" s="12">
        <f t="shared" si="0"/>
        <v>2643.8001120000004</v>
      </c>
      <c r="M40" s="12">
        <f t="shared" si="1"/>
        <v>1886.4010559999999</v>
      </c>
      <c r="N40" s="9">
        <v>8.5411000000000001</v>
      </c>
      <c r="O40" s="9">
        <v>1.7770999999999999</v>
      </c>
      <c r="P40" s="15">
        <v>9.75</v>
      </c>
      <c r="Q40" s="15">
        <v>36.034999999999997</v>
      </c>
      <c r="R40">
        <v>0.36</v>
      </c>
      <c r="S40" s="17">
        <v>188934.20975000001</v>
      </c>
      <c r="T40">
        <v>224.53800000000001</v>
      </c>
      <c r="U40" s="41">
        <f t="shared" si="2"/>
        <v>289718.68694400002</v>
      </c>
    </row>
    <row r="41" spans="1:21" x14ac:dyDescent="0.2">
      <c r="A41" s="7" t="s">
        <v>6</v>
      </c>
      <c r="B41" s="7" t="s">
        <v>60</v>
      </c>
      <c r="C41" s="8">
        <v>338079.06212586298</v>
      </c>
      <c r="D41" s="7">
        <v>550254</v>
      </c>
      <c r="E41" s="7">
        <v>455803</v>
      </c>
      <c r="F41" s="7">
        <v>53767</v>
      </c>
      <c r="G41" s="7">
        <v>43772</v>
      </c>
      <c r="H41" s="7">
        <v>1245894</v>
      </c>
      <c r="I41" s="38">
        <v>0.13884615</v>
      </c>
      <c r="J41" s="10">
        <v>204.9</v>
      </c>
      <c r="K41" s="11">
        <v>146.19999999999999</v>
      </c>
      <c r="L41" s="12">
        <f t="shared" si="0"/>
        <v>2552.8368059999998</v>
      </c>
      <c r="M41" s="12">
        <f t="shared" si="1"/>
        <v>1821.4970279999998</v>
      </c>
      <c r="N41" s="9">
        <v>8.5411000000000001</v>
      </c>
      <c r="O41" s="9">
        <v>1.7770999999999999</v>
      </c>
      <c r="P41" s="15">
        <v>9.75</v>
      </c>
      <c r="Q41" s="15">
        <v>36.034999999999997</v>
      </c>
      <c r="R41">
        <v>0.36</v>
      </c>
      <c r="S41" s="17">
        <v>188934.20975000001</v>
      </c>
      <c r="T41">
        <v>262.286</v>
      </c>
      <c r="U41" s="41">
        <f t="shared" si="2"/>
        <v>326780.55368400004</v>
      </c>
    </row>
    <row r="42" spans="1:21" x14ac:dyDescent="0.2">
      <c r="A42" s="7" t="s">
        <v>6</v>
      </c>
      <c r="B42" s="7" t="s">
        <v>61</v>
      </c>
      <c r="C42" s="8">
        <v>271402.84274400299</v>
      </c>
      <c r="D42" s="7">
        <v>961050</v>
      </c>
      <c r="E42" s="7">
        <v>796235</v>
      </c>
      <c r="F42" s="13"/>
      <c r="G42" s="13"/>
      <c r="H42" s="7">
        <v>917047</v>
      </c>
      <c r="I42" s="38">
        <v>5.44777778</v>
      </c>
      <c r="J42" s="10">
        <v>204.9</v>
      </c>
      <c r="K42" s="11">
        <v>146.19999999999999</v>
      </c>
      <c r="L42" s="12">
        <f t="shared" si="0"/>
        <v>1879.029303</v>
      </c>
      <c r="M42" s="12">
        <f t="shared" si="1"/>
        <v>1340.722714</v>
      </c>
      <c r="N42" s="9">
        <v>8.5411000000000001</v>
      </c>
      <c r="O42" s="9">
        <v>1.7770999999999999</v>
      </c>
      <c r="P42" s="15">
        <v>9.75</v>
      </c>
      <c r="Q42" s="15">
        <v>36.034999999999997</v>
      </c>
      <c r="R42">
        <v>0.36</v>
      </c>
      <c r="S42" s="17">
        <v>188934.20975000001</v>
      </c>
      <c r="T42">
        <v>294.34500000000003</v>
      </c>
      <c r="U42" s="41">
        <f t="shared" si="2"/>
        <v>269928.19921500003</v>
      </c>
    </row>
    <row r="43" spans="1:21" x14ac:dyDescent="0.2">
      <c r="A43" s="7" t="s">
        <v>6</v>
      </c>
      <c r="B43" s="7" t="s">
        <v>62</v>
      </c>
      <c r="C43" s="8">
        <v>270309.84177287901</v>
      </c>
      <c r="D43" s="7"/>
      <c r="E43" s="13"/>
      <c r="F43" s="7">
        <v>999423</v>
      </c>
      <c r="G43" s="7">
        <v>832463</v>
      </c>
      <c r="H43" s="7">
        <v>961556</v>
      </c>
      <c r="I43" s="38">
        <v>6.2956250000000002</v>
      </c>
      <c r="J43" s="10">
        <v>204.9</v>
      </c>
      <c r="K43" s="11">
        <v>146.19999999999999</v>
      </c>
      <c r="L43" s="12">
        <f t="shared" si="0"/>
        <v>1970.2282440000001</v>
      </c>
      <c r="M43" s="12">
        <f t="shared" si="1"/>
        <v>1405.7948719999999</v>
      </c>
      <c r="N43" s="9">
        <v>8.5411000000000001</v>
      </c>
      <c r="O43" s="9">
        <v>1.7770999999999999</v>
      </c>
      <c r="P43" s="15">
        <v>9.75</v>
      </c>
      <c r="Q43" s="15">
        <v>36.034999999999997</v>
      </c>
      <c r="R43">
        <v>0.36</v>
      </c>
      <c r="S43" s="17">
        <v>188934.20975000001</v>
      </c>
      <c r="T43">
        <v>270.66199999999998</v>
      </c>
      <c r="U43" s="41">
        <f t="shared" si="2"/>
        <v>260256.67007199998</v>
      </c>
    </row>
    <row r="44" spans="1:21" x14ac:dyDescent="0.2">
      <c r="A44" s="7" t="s">
        <v>6</v>
      </c>
      <c r="B44" s="7" t="s">
        <v>63</v>
      </c>
      <c r="C44" s="8">
        <v>175208.68494752899</v>
      </c>
      <c r="D44" s="7">
        <v>316256</v>
      </c>
      <c r="E44" s="7">
        <v>257862</v>
      </c>
      <c r="F44" s="7">
        <v>393110</v>
      </c>
      <c r="G44" s="7">
        <v>324151</v>
      </c>
      <c r="H44" s="7">
        <v>1082432</v>
      </c>
      <c r="I44" s="38">
        <v>14.689500000000001</v>
      </c>
      <c r="J44" s="10">
        <v>204.9</v>
      </c>
      <c r="K44" s="11">
        <v>146.19999999999999</v>
      </c>
      <c r="L44" s="12">
        <f t="shared" si="0"/>
        <v>2217.9031680000003</v>
      </c>
      <c r="M44" s="12">
        <f t="shared" si="1"/>
        <v>1582.5155839999998</v>
      </c>
      <c r="N44" s="9">
        <v>8.5411000000000001</v>
      </c>
      <c r="O44" s="9">
        <v>1.7770999999999999</v>
      </c>
      <c r="P44" s="15">
        <v>9.75</v>
      </c>
      <c r="Q44" s="15">
        <v>36.034999999999997</v>
      </c>
      <c r="R44">
        <v>0.36</v>
      </c>
      <c r="S44" s="17">
        <v>188934.20975000001</v>
      </c>
      <c r="T44">
        <v>169.09</v>
      </c>
      <c r="U44" s="41">
        <f t="shared" si="2"/>
        <v>183028.42687999998</v>
      </c>
    </row>
    <row r="45" spans="1:21" x14ac:dyDescent="0.2">
      <c r="A45" s="7" t="s">
        <v>7</v>
      </c>
      <c r="B45" s="7" t="s">
        <v>64</v>
      </c>
      <c r="C45" s="8">
        <v>72396.819909275902</v>
      </c>
      <c r="D45" s="7">
        <v>170169</v>
      </c>
      <c r="E45" s="7">
        <v>119302</v>
      </c>
      <c r="F45" s="7">
        <v>237385</v>
      </c>
      <c r="G45" s="7">
        <v>112563</v>
      </c>
      <c r="H45" s="7">
        <v>477903</v>
      </c>
      <c r="I45" s="2">
        <v>43.323999999999998</v>
      </c>
      <c r="J45" s="10">
        <v>490.1</v>
      </c>
      <c r="K45" s="11">
        <v>74.900000000000006</v>
      </c>
      <c r="L45" s="12">
        <f t="shared" si="0"/>
        <v>2342.2026030000002</v>
      </c>
      <c r="M45" s="12">
        <f t="shared" si="1"/>
        <v>357.94934700000005</v>
      </c>
      <c r="N45" s="9">
        <v>35.882399999999997</v>
      </c>
      <c r="O45" s="9">
        <v>5.2617000000000003</v>
      </c>
      <c r="P45" s="15">
        <v>9.7899999999999991</v>
      </c>
      <c r="Q45" s="15">
        <v>69.06</v>
      </c>
      <c r="R45">
        <v>0.12</v>
      </c>
      <c r="S45" s="17">
        <v>252432.75958300001</v>
      </c>
      <c r="T45">
        <v>180.72800000000001</v>
      </c>
      <c r="U45" s="41">
        <f t="shared" si="2"/>
        <v>86370.453384000008</v>
      </c>
    </row>
    <row r="46" spans="1:21" x14ac:dyDescent="0.2">
      <c r="A46" s="7" t="s">
        <v>7</v>
      </c>
      <c r="B46" s="7" t="s">
        <v>65</v>
      </c>
      <c r="C46" s="8">
        <v>300088.17560362699</v>
      </c>
      <c r="D46" s="7">
        <v>762424</v>
      </c>
      <c r="E46" s="7">
        <v>668334</v>
      </c>
      <c r="F46" s="13"/>
      <c r="G46" s="13"/>
      <c r="H46" s="7">
        <v>2113648</v>
      </c>
      <c r="I46" s="2">
        <v>45.62</v>
      </c>
      <c r="J46" s="10">
        <v>490.1</v>
      </c>
      <c r="K46" s="11">
        <v>74.900000000000006</v>
      </c>
      <c r="L46" s="12">
        <f t="shared" si="0"/>
        <v>10358.988848000001</v>
      </c>
      <c r="M46" s="12">
        <f t="shared" si="1"/>
        <v>1583.1223520000001</v>
      </c>
      <c r="N46" s="9">
        <v>35.882399999999997</v>
      </c>
      <c r="O46" s="9">
        <v>5.2617000000000003</v>
      </c>
      <c r="P46" s="15">
        <v>9.7899999999999991</v>
      </c>
      <c r="Q46" s="15">
        <v>69.06</v>
      </c>
      <c r="R46">
        <v>0.12</v>
      </c>
      <c r="S46" s="17">
        <v>252432.75958300001</v>
      </c>
      <c r="T46">
        <v>249.07900000000001</v>
      </c>
      <c r="U46" s="41">
        <f t="shared" si="2"/>
        <v>526465.33019200002</v>
      </c>
    </row>
    <row r="47" spans="1:21" x14ac:dyDescent="0.2">
      <c r="A47" s="7" t="s">
        <v>7</v>
      </c>
      <c r="B47" s="7" t="s">
        <v>66</v>
      </c>
      <c r="C47" s="8">
        <v>53965.320105799903</v>
      </c>
      <c r="D47" s="7">
        <v>35789</v>
      </c>
      <c r="E47" s="7">
        <v>867</v>
      </c>
      <c r="F47" s="13"/>
      <c r="G47" s="13"/>
      <c r="H47" s="7">
        <v>151848</v>
      </c>
      <c r="I47" s="2">
        <v>32.553750000000001</v>
      </c>
      <c r="J47" s="10">
        <v>490.1</v>
      </c>
      <c r="K47" s="11">
        <v>74.900000000000006</v>
      </c>
      <c r="L47" s="12">
        <f t="shared" si="0"/>
        <v>744.20704799999999</v>
      </c>
      <c r="M47" s="12">
        <f t="shared" si="1"/>
        <v>113.73415200000001</v>
      </c>
      <c r="N47" s="9">
        <v>35.882399999999997</v>
      </c>
      <c r="O47" s="9">
        <v>5.2617000000000003</v>
      </c>
      <c r="P47" s="15">
        <v>9.7899999999999991</v>
      </c>
      <c r="Q47" s="15">
        <v>69.06</v>
      </c>
      <c r="R47">
        <v>0.12</v>
      </c>
      <c r="S47" s="17">
        <v>252432.75958300001</v>
      </c>
      <c r="T47">
        <v>168.012</v>
      </c>
      <c r="U47" s="41">
        <f t="shared" si="2"/>
        <v>25512.286175999998</v>
      </c>
    </row>
    <row r="48" spans="1:21" x14ac:dyDescent="0.2">
      <c r="A48" s="7" t="s">
        <v>7</v>
      </c>
      <c r="B48" s="7" t="s">
        <v>67</v>
      </c>
      <c r="C48" s="8">
        <v>45322.523607446099</v>
      </c>
      <c r="D48" s="7">
        <v>85890</v>
      </c>
      <c r="E48" s="7">
        <v>696</v>
      </c>
      <c r="F48" s="13"/>
      <c r="G48" s="13"/>
      <c r="H48" s="7">
        <v>137286</v>
      </c>
      <c r="I48" s="2">
        <v>32.727499999999999</v>
      </c>
      <c r="J48" s="10">
        <v>490.1</v>
      </c>
      <c r="K48" s="11">
        <v>74.900000000000006</v>
      </c>
      <c r="L48" s="12">
        <f t="shared" si="0"/>
        <v>672.83868600000005</v>
      </c>
      <c r="M48" s="12">
        <f t="shared" si="1"/>
        <v>102.827214</v>
      </c>
      <c r="N48" s="9">
        <v>35.882399999999997</v>
      </c>
      <c r="O48" s="9">
        <v>5.2617000000000003</v>
      </c>
      <c r="P48" s="15">
        <v>9.7899999999999991</v>
      </c>
      <c r="Q48" s="15">
        <v>69.06</v>
      </c>
      <c r="R48">
        <v>0.12</v>
      </c>
      <c r="S48" s="17">
        <v>252432.75958300001</v>
      </c>
      <c r="T48">
        <v>181.75399999999999</v>
      </c>
      <c r="U48" s="41">
        <f t="shared" si="2"/>
        <v>24952.279643999998</v>
      </c>
    </row>
    <row r="49" spans="1:21" x14ac:dyDescent="0.2">
      <c r="A49" s="7" t="s">
        <v>7</v>
      </c>
      <c r="B49" s="7" t="s">
        <v>68</v>
      </c>
      <c r="C49" s="8">
        <v>44244.694099614797</v>
      </c>
      <c r="D49" s="7"/>
      <c r="E49" s="13"/>
      <c r="F49" s="7">
        <v>166492</v>
      </c>
      <c r="G49" s="7">
        <v>22870</v>
      </c>
      <c r="H49" s="7">
        <v>370199</v>
      </c>
      <c r="I49" s="2">
        <v>35.933999999999997</v>
      </c>
      <c r="J49" s="10">
        <v>490.1</v>
      </c>
      <c r="K49" s="11">
        <v>74.900000000000006</v>
      </c>
      <c r="L49" s="12">
        <f t="shared" si="0"/>
        <v>1814.3452990000001</v>
      </c>
      <c r="M49" s="12">
        <f t="shared" si="1"/>
        <v>277.27905100000004</v>
      </c>
      <c r="N49" s="9">
        <v>35.882399999999997</v>
      </c>
      <c r="O49" s="9">
        <v>5.2617000000000003</v>
      </c>
      <c r="P49" s="15">
        <v>9.7899999999999991</v>
      </c>
      <c r="Q49" s="15">
        <v>69.06</v>
      </c>
      <c r="R49">
        <v>0.12</v>
      </c>
      <c r="S49" s="17">
        <v>252432.75958300001</v>
      </c>
      <c r="T49">
        <v>176.98500000000001</v>
      </c>
      <c r="U49" s="41">
        <f t="shared" si="2"/>
        <v>65519.670015000011</v>
      </c>
    </row>
    <row r="50" spans="1:21" x14ac:dyDescent="0.2">
      <c r="A50" s="7" t="s">
        <v>7</v>
      </c>
      <c r="B50" s="7" t="s">
        <v>69</v>
      </c>
      <c r="C50" s="8">
        <v>175826.77096299801</v>
      </c>
      <c r="D50" s="7">
        <v>181900</v>
      </c>
      <c r="E50" s="7">
        <v>155223</v>
      </c>
      <c r="F50" s="7">
        <v>74935</v>
      </c>
      <c r="G50" s="7">
        <v>2916</v>
      </c>
      <c r="H50" s="7">
        <v>348599</v>
      </c>
      <c r="I50" s="2">
        <v>49.390619999999998</v>
      </c>
      <c r="J50" s="10">
        <v>490.1</v>
      </c>
      <c r="K50" s="11">
        <v>74.900000000000006</v>
      </c>
      <c r="L50" s="12">
        <f t="shared" si="0"/>
        <v>1708.4836990000001</v>
      </c>
      <c r="M50" s="12">
        <f t="shared" si="1"/>
        <v>261.10065100000003</v>
      </c>
      <c r="N50" s="9">
        <v>35.882399999999997</v>
      </c>
      <c r="O50" s="9">
        <v>5.2617000000000003</v>
      </c>
      <c r="P50" s="15">
        <v>9.7899999999999991</v>
      </c>
      <c r="Q50" s="15">
        <v>69.06</v>
      </c>
      <c r="R50">
        <v>0.12</v>
      </c>
      <c r="S50" s="17">
        <v>252432.75958300001</v>
      </c>
      <c r="T50">
        <v>306.01799999999997</v>
      </c>
      <c r="U50" s="41">
        <f t="shared" si="2"/>
        <v>106677.56878199999</v>
      </c>
    </row>
    <row r="51" spans="1:21" x14ac:dyDescent="0.2">
      <c r="A51" s="7" t="s">
        <v>8</v>
      </c>
      <c r="B51" s="7" t="s">
        <v>70</v>
      </c>
      <c r="C51" s="8">
        <v>992151.71044504398</v>
      </c>
      <c r="D51" s="7">
        <f>SUM(425621+1076302+249280)</f>
        <v>1751203</v>
      </c>
      <c r="E51" s="7">
        <f>SUM(375986+1021564+226311)</f>
        <v>1623861</v>
      </c>
      <c r="F51" s="9"/>
      <c r="G51" s="13"/>
      <c r="H51" s="14">
        <v>2840487</v>
      </c>
      <c r="I51" s="9">
        <v>0</v>
      </c>
      <c r="J51" s="10">
        <v>184</v>
      </c>
      <c r="K51" s="11">
        <v>124.1</v>
      </c>
      <c r="L51" s="12">
        <f t="shared" si="0"/>
        <v>5226.4960799999999</v>
      </c>
      <c r="M51" s="12">
        <f t="shared" si="1"/>
        <v>3525.044367</v>
      </c>
      <c r="N51" s="9">
        <v>11.7286</v>
      </c>
      <c r="O51" s="9">
        <v>2.1995</v>
      </c>
      <c r="P51" s="15">
        <v>9.7899999999999991</v>
      </c>
      <c r="Q51" s="15">
        <v>97.875</v>
      </c>
      <c r="R51">
        <v>0.125</v>
      </c>
      <c r="S51" s="17">
        <v>186652.10550000001</v>
      </c>
      <c r="T51">
        <v>275.80500000000001</v>
      </c>
      <c r="U51" s="41">
        <f t="shared" si="2"/>
        <v>783420.51703499991</v>
      </c>
    </row>
    <row r="52" spans="1:21" x14ac:dyDescent="0.2">
      <c r="A52" s="7" t="s">
        <v>8</v>
      </c>
      <c r="B52" s="7" t="s">
        <v>71</v>
      </c>
      <c r="C52" s="8">
        <v>365605.29104443197</v>
      </c>
      <c r="D52" s="7">
        <f>SUM(662947+733370)</f>
        <v>1396317</v>
      </c>
      <c r="E52" s="7">
        <f>SUM(622681+643675)</f>
        <v>1266356</v>
      </c>
      <c r="F52" s="9"/>
      <c r="G52" s="13"/>
      <c r="H52" s="14">
        <v>1587001</v>
      </c>
      <c r="I52" s="9">
        <v>0</v>
      </c>
      <c r="J52" s="10">
        <v>184</v>
      </c>
      <c r="K52" s="11">
        <v>124.1</v>
      </c>
      <c r="L52" s="12">
        <f t="shared" si="0"/>
        <v>2920.0818399999998</v>
      </c>
      <c r="M52" s="12">
        <f t="shared" si="1"/>
        <v>1969.468241</v>
      </c>
      <c r="N52" s="9">
        <v>11.7286</v>
      </c>
      <c r="O52" s="9">
        <v>2.1995</v>
      </c>
      <c r="P52" s="15">
        <v>9.7899999999999991</v>
      </c>
      <c r="Q52" s="15">
        <v>97.875</v>
      </c>
      <c r="R52">
        <v>0.125</v>
      </c>
      <c r="S52" s="17">
        <v>186652.10550000001</v>
      </c>
      <c r="T52">
        <v>204.94900000000001</v>
      </c>
      <c r="U52" s="41">
        <f t="shared" si="2"/>
        <v>325254.267949</v>
      </c>
    </row>
    <row r="53" spans="1:21" x14ac:dyDescent="0.2">
      <c r="A53" s="7" t="s">
        <v>8</v>
      </c>
      <c r="B53" s="7" t="s">
        <v>72</v>
      </c>
      <c r="C53" s="8">
        <v>134361.03035611901</v>
      </c>
      <c r="D53" s="7">
        <f>SUM(135797+271429)</f>
        <v>407226</v>
      </c>
      <c r="E53" s="7">
        <f>+SUM(116879+251778)</f>
        <v>368657</v>
      </c>
      <c r="F53" s="9"/>
      <c r="G53" s="13"/>
      <c r="H53" s="14">
        <v>1587001</v>
      </c>
      <c r="I53" s="9">
        <v>0</v>
      </c>
      <c r="J53" s="10">
        <v>184</v>
      </c>
      <c r="K53" s="11">
        <v>124.1</v>
      </c>
      <c r="L53" s="12">
        <f t="shared" si="0"/>
        <v>2920.0818399999998</v>
      </c>
      <c r="M53" s="12">
        <f t="shared" si="1"/>
        <v>1969.468241</v>
      </c>
      <c r="N53" s="9">
        <v>11.7286</v>
      </c>
      <c r="O53" s="9">
        <v>2.1995</v>
      </c>
      <c r="P53" s="15">
        <v>9.7899999999999991</v>
      </c>
      <c r="Q53" s="15">
        <v>97.875</v>
      </c>
      <c r="R53">
        <v>0.125</v>
      </c>
      <c r="S53" s="17">
        <v>186652.10550000001</v>
      </c>
      <c r="T53">
        <v>291.46300000000002</v>
      </c>
      <c r="U53" s="41">
        <f t="shared" si="2"/>
        <v>462552.07246300008</v>
      </c>
    </row>
    <row r="54" spans="1:21" x14ac:dyDescent="0.2">
      <c r="A54" s="7" t="s">
        <v>8</v>
      </c>
      <c r="B54" s="7" t="s">
        <v>73</v>
      </c>
      <c r="C54" s="8">
        <v>580880.57168113498</v>
      </c>
      <c r="D54" s="7">
        <v>1027671</v>
      </c>
      <c r="E54" s="7">
        <v>944168</v>
      </c>
      <c r="F54" s="9"/>
      <c r="G54" s="13"/>
      <c r="H54" s="14">
        <v>2207607</v>
      </c>
      <c r="I54" s="9">
        <v>0</v>
      </c>
      <c r="J54" s="10">
        <v>184</v>
      </c>
      <c r="K54" s="11">
        <v>124.1</v>
      </c>
      <c r="L54" s="12">
        <f t="shared" si="0"/>
        <v>4061.9968800000001</v>
      </c>
      <c r="M54" s="12">
        <f t="shared" si="1"/>
        <v>2739.6402869999997</v>
      </c>
      <c r="N54" s="9">
        <v>11.7286</v>
      </c>
      <c r="O54" s="9">
        <v>2.1995</v>
      </c>
      <c r="P54" s="15">
        <v>9.7899999999999991</v>
      </c>
      <c r="Q54" s="15">
        <v>97.875</v>
      </c>
      <c r="R54">
        <v>0.125</v>
      </c>
      <c r="S54" s="17">
        <v>186652.10550000001</v>
      </c>
      <c r="T54">
        <v>228.84200000000001</v>
      </c>
      <c r="U54" s="41">
        <f t="shared" si="2"/>
        <v>505193.20109400002</v>
      </c>
    </row>
    <row r="55" spans="1:21" x14ac:dyDescent="0.2">
      <c r="A55" s="7" t="s">
        <v>8</v>
      </c>
      <c r="B55" s="7" t="s">
        <v>74</v>
      </c>
      <c r="C55" s="8">
        <v>512561.80323417002</v>
      </c>
      <c r="D55" s="7">
        <f>SUM(399787+1022127)</f>
        <v>1421914</v>
      </c>
      <c r="E55" s="7">
        <f>SUM(353912+308900+376119+220170)</f>
        <v>1259101</v>
      </c>
      <c r="F55" s="9"/>
      <c r="G55" s="13"/>
      <c r="H55" s="14">
        <v>1573468</v>
      </c>
      <c r="I55" s="9">
        <v>0</v>
      </c>
      <c r="J55" s="10">
        <v>184</v>
      </c>
      <c r="K55" s="11">
        <v>124.1</v>
      </c>
      <c r="L55" s="12">
        <f t="shared" si="0"/>
        <v>2895.1811200000002</v>
      </c>
      <c r="M55" s="12">
        <f t="shared" si="1"/>
        <v>1952.6737879999998</v>
      </c>
      <c r="N55" s="9">
        <v>11.7286</v>
      </c>
      <c r="O55" s="9">
        <v>2.1995</v>
      </c>
      <c r="P55" s="15">
        <v>9.7899999999999991</v>
      </c>
      <c r="Q55" s="15">
        <v>97.875</v>
      </c>
      <c r="R55">
        <v>0.125</v>
      </c>
      <c r="S55" s="17">
        <v>186652.10550000001</v>
      </c>
      <c r="T55">
        <v>261.07600000000002</v>
      </c>
      <c r="U55" s="41">
        <f t="shared" si="2"/>
        <v>410794.73156800005</v>
      </c>
    </row>
    <row r="56" spans="1:21" x14ac:dyDescent="0.2">
      <c r="A56" s="7" t="s">
        <v>8</v>
      </c>
      <c r="B56" s="7" t="s">
        <v>75</v>
      </c>
      <c r="C56" s="8">
        <v>468596.48281123099</v>
      </c>
      <c r="D56" s="7">
        <f>SUM(814490+681108+203160)</f>
        <v>1698758</v>
      </c>
      <c r="E56" s="7">
        <f>SUM(729705+171697+595655)</f>
        <v>1497057</v>
      </c>
      <c r="F56" s="9"/>
      <c r="G56" s="13"/>
      <c r="H56" s="14">
        <v>8840921</v>
      </c>
      <c r="I56" s="9">
        <v>0</v>
      </c>
      <c r="J56" s="10">
        <v>184</v>
      </c>
      <c r="K56" s="11">
        <v>124.1</v>
      </c>
      <c r="L56" s="12">
        <f t="shared" si="0"/>
        <v>16267.29464</v>
      </c>
      <c r="M56" s="12">
        <f t="shared" si="1"/>
        <v>10971.582960999998</v>
      </c>
      <c r="N56" s="9">
        <v>11.7286</v>
      </c>
      <c r="O56" s="9">
        <v>2.1995</v>
      </c>
      <c r="P56" s="15">
        <v>9.7899999999999991</v>
      </c>
      <c r="Q56" s="15">
        <v>97.875</v>
      </c>
      <c r="R56">
        <v>0.125</v>
      </c>
      <c r="S56" s="17">
        <v>186652.10550000001</v>
      </c>
      <c r="T56">
        <v>214.01</v>
      </c>
      <c r="U56" s="41">
        <f t="shared" si="2"/>
        <v>1892045.50321</v>
      </c>
    </row>
    <row r="57" spans="1:21" x14ac:dyDescent="0.2">
      <c r="A57" s="7" t="s">
        <v>8</v>
      </c>
      <c r="B57" s="7" t="s">
        <v>76</v>
      </c>
      <c r="C57" s="8">
        <v>988279.89360307204</v>
      </c>
      <c r="D57" s="7">
        <f>SUM(651748+862483+1292485)</f>
        <v>2806716</v>
      </c>
      <c r="E57" s="7">
        <f>SUM(602300+816378+1137623)</f>
        <v>2556301</v>
      </c>
      <c r="F57" s="9"/>
      <c r="G57" s="13"/>
      <c r="H57" s="14">
        <v>3199714</v>
      </c>
      <c r="I57" s="9">
        <v>0</v>
      </c>
      <c r="J57" s="10">
        <v>184</v>
      </c>
      <c r="K57" s="11">
        <v>124.1</v>
      </c>
      <c r="L57" s="12">
        <f t="shared" si="0"/>
        <v>5887.4737599999999</v>
      </c>
      <c r="M57" s="12">
        <f t="shared" si="1"/>
        <v>3970.8450739999998</v>
      </c>
      <c r="N57" s="9">
        <v>11.7286</v>
      </c>
      <c r="O57" s="9">
        <v>2.1995</v>
      </c>
      <c r="P57" s="15">
        <v>9.7899999999999991</v>
      </c>
      <c r="Q57" s="15">
        <v>97.875</v>
      </c>
      <c r="R57">
        <v>0.125</v>
      </c>
      <c r="S57" s="17">
        <v>186652.10550000001</v>
      </c>
      <c r="T57">
        <v>258.83300000000003</v>
      </c>
      <c r="U57" s="41">
        <f t="shared" si="2"/>
        <v>828191.57376200007</v>
      </c>
    </row>
    <row r="58" spans="1:21" x14ac:dyDescent="0.2">
      <c r="A58" s="7" t="s">
        <v>8</v>
      </c>
      <c r="B58" s="7" t="s">
        <v>77</v>
      </c>
      <c r="C58" s="8">
        <v>1059649.61859829</v>
      </c>
      <c r="D58" s="7">
        <f>SUM(922726+1606702+683708)</f>
        <v>3213136</v>
      </c>
      <c r="E58" s="7">
        <f>SUM(849526+1448924+620984)</f>
        <v>2919434</v>
      </c>
      <c r="F58" s="9"/>
      <c r="G58" s="13"/>
      <c r="H58" s="14">
        <v>2876120</v>
      </c>
      <c r="I58" s="9">
        <v>0</v>
      </c>
      <c r="J58" s="10">
        <v>184</v>
      </c>
      <c r="K58" s="11">
        <v>124.1</v>
      </c>
      <c r="L58" s="12">
        <f t="shared" si="0"/>
        <v>5292.0608000000002</v>
      </c>
      <c r="M58" s="12">
        <f t="shared" si="1"/>
        <v>3569.2649200000001</v>
      </c>
      <c r="N58" s="9">
        <v>11.7286</v>
      </c>
      <c r="O58" s="9">
        <v>2.1995</v>
      </c>
      <c r="P58" s="15">
        <v>9.7899999999999991</v>
      </c>
      <c r="Q58" s="15">
        <v>97.875</v>
      </c>
      <c r="R58">
        <v>0.125</v>
      </c>
      <c r="S58" s="17">
        <v>186652.10550000001</v>
      </c>
      <c r="T58">
        <v>291.673</v>
      </c>
      <c r="U58" s="41">
        <f t="shared" si="2"/>
        <v>838886.54876000003</v>
      </c>
    </row>
    <row r="59" spans="1:21" x14ac:dyDescent="0.2">
      <c r="A59" s="7" t="s">
        <v>8</v>
      </c>
      <c r="B59" s="7" t="s">
        <v>78</v>
      </c>
      <c r="C59" s="8">
        <v>670068.56774557906</v>
      </c>
      <c r="D59" s="7">
        <f>SUM(345340+966516+557866)</f>
        <v>1869722</v>
      </c>
      <c r="E59" s="7">
        <f>SUM(295231+885524+494022)</f>
        <v>1674777</v>
      </c>
      <c r="F59" s="9"/>
      <c r="G59" s="13"/>
      <c r="H59" s="14">
        <v>2282668</v>
      </c>
      <c r="I59" s="9">
        <v>0</v>
      </c>
      <c r="J59" s="10">
        <v>184</v>
      </c>
      <c r="K59" s="11">
        <v>124.1</v>
      </c>
      <c r="L59" s="12">
        <f t="shared" si="0"/>
        <v>4200.1091200000001</v>
      </c>
      <c r="M59" s="12">
        <f t="shared" si="1"/>
        <v>2832.7909880000002</v>
      </c>
      <c r="N59" s="9">
        <v>11.7286</v>
      </c>
      <c r="O59" s="9">
        <v>2.1995</v>
      </c>
      <c r="P59" s="15">
        <v>9.7899999999999991</v>
      </c>
      <c r="Q59" s="15">
        <v>97.875</v>
      </c>
      <c r="R59">
        <v>0.125</v>
      </c>
      <c r="S59" s="17">
        <v>186652.10550000001</v>
      </c>
      <c r="T59">
        <v>252.78399999999999</v>
      </c>
      <c r="U59" s="41">
        <f t="shared" si="2"/>
        <v>577021.94771199999</v>
      </c>
    </row>
    <row r="60" spans="1:21" x14ac:dyDescent="0.2">
      <c r="A60" s="7" t="s">
        <v>8</v>
      </c>
      <c r="B60" s="7" t="s">
        <v>79</v>
      </c>
      <c r="C60" s="8">
        <v>533213.56049865205</v>
      </c>
      <c r="D60" s="7">
        <f>SUM(1034825+570713)</f>
        <v>1605538</v>
      </c>
      <c r="E60" s="7">
        <f>SUM(917726+490145)</f>
        <v>1407871</v>
      </c>
      <c r="F60" s="9"/>
      <c r="G60" s="13"/>
      <c r="H60" s="14">
        <v>2077052</v>
      </c>
      <c r="I60" s="9">
        <v>0</v>
      </c>
      <c r="J60" s="10">
        <v>184</v>
      </c>
      <c r="K60" s="11">
        <v>124.1</v>
      </c>
      <c r="L60" s="12">
        <f t="shared" si="0"/>
        <v>3821.7756800000002</v>
      </c>
      <c r="M60" s="12">
        <f t="shared" si="1"/>
        <v>2577.6215319999997</v>
      </c>
      <c r="N60" s="9">
        <v>11.7286</v>
      </c>
      <c r="O60" s="9">
        <v>2.1995</v>
      </c>
      <c r="P60" s="15">
        <v>9.7899999999999991</v>
      </c>
      <c r="Q60" s="15">
        <v>97.875</v>
      </c>
      <c r="R60">
        <v>0.125</v>
      </c>
      <c r="S60" s="17">
        <v>186652.10550000001</v>
      </c>
      <c r="T60">
        <v>247.10300000000001</v>
      </c>
      <c r="U60" s="41">
        <f t="shared" si="2"/>
        <v>513245.780356</v>
      </c>
    </row>
    <row r="61" spans="1:21" x14ac:dyDescent="0.2">
      <c r="A61" s="7" t="s">
        <v>8</v>
      </c>
      <c r="B61" s="7" t="s">
        <v>80</v>
      </c>
      <c r="C61" s="8">
        <v>443317.50987979397</v>
      </c>
      <c r="D61" s="7">
        <f>SUM(244278+456240+398272)</f>
        <v>1098790</v>
      </c>
      <c r="E61" s="7">
        <f>SUM(215332+402169+361328)</f>
        <v>978829</v>
      </c>
      <c r="F61" s="9"/>
      <c r="G61" s="13"/>
      <c r="H61" s="14">
        <v>1252420</v>
      </c>
      <c r="I61" s="9">
        <v>0</v>
      </c>
      <c r="J61" s="10">
        <v>184</v>
      </c>
      <c r="K61" s="11">
        <v>124.1</v>
      </c>
      <c r="L61" s="12">
        <f t="shared" si="0"/>
        <v>2304.4528</v>
      </c>
      <c r="M61" s="12">
        <f t="shared" si="1"/>
        <v>1554.2532200000001</v>
      </c>
      <c r="N61" s="9">
        <v>11.7286</v>
      </c>
      <c r="O61" s="9">
        <v>2.1995</v>
      </c>
      <c r="P61" s="15">
        <v>9.7899999999999991</v>
      </c>
      <c r="Q61" s="15">
        <v>97.875</v>
      </c>
      <c r="R61">
        <v>0.125</v>
      </c>
      <c r="S61" s="17">
        <v>186652.10550000001</v>
      </c>
      <c r="T61">
        <v>324.221</v>
      </c>
      <c r="U61" s="41">
        <f t="shared" si="2"/>
        <v>406060.86482000002</v>
      </c>
    </row>
    <row r="62" spans="1:21" x14ac:dyDescent="0.2">
      <c r="A62" s="7" t="s">
        <v>8</v>
      </c>
      <c r="B62" s="7" t="s">
        <v>81</v>
      </c>
      <c r="C62" s="8">
        <v>107278.720793125</v>
      </c>
      <c r="D62" s="7">
        <v>396047</v>
      </c>
      <c r="E62" s="7">
        <v>349486</v>
      </c>
      <c r="F62" s="9"/>
      <c r="G62" s="13"/>
      <c r="H62" s="14">
        <v>446158</v>
      </c>
      <c r="I62" s="9">
        <v>0</v>
      </c>
      <c r="J62" s="10">
        <v>184</v>
      </c>
      <c r="K62" s="11">
        <v>124.1</v>
      </c>
      <c r="L62" s="12">
        <f t="shared" si="0"/>
        <v>820.93071999999995</v>
      </c>
      <c r="M62" s="12">
        <f t="shared" si="1"/>
        <v>553.68207799999993</v>
      </c>
      <c r="N62" s="9">
        <v>11.7286</v>
      </c>
      <c r="O62" s="9">
        <v>2.1995</v>
      </c>
      <c r="P62" s="15">
        <v>9.7899999999999991</v>
      </c>
      <c r="Q62" s="15">
        <v>97.875</v>
      </c>
      <c r="R62">
        <v>0.125</v>
      </c>
      <c r="S62" s="17">
        <v>186652.10550000001</v>
      </c>
      <c r="T62">
        <v>194.649</v>
      </c>
      <c r="U62" s="41">
        <f t="shared" si="2"/>
        <v>86844.208541999993</v>
      </c>
    </row>
    <row r="63" spans="1:21" x14ac:dyDescent="0.2">
      <c r="A63" s="7" t="s">
        <v>8</v>
      </c>
      <c r="B63" s="7" t="s">
        <v>82</v>
      </c>
      <c r="C63" s="8">
        <v>337390.68846598599</v>
      </c>
      <c r="D63" s="7">
        <f>SUM(392678+855420)</f>
        <v>1248098</v>
      </c>
      <c r="E63" s="7">
        <f>SUM(374423+740862)</f>
        <v>1115285</v>
      </c>
      <c r="F63" s="9"/>
      <c r="G63" s="13"/>
      <c r="H63" s="14">
        <v>1421612</v>
      </c>
      <c r="I63" s="9">
        <v>0</v>
      </c>
      <c r="J63" s="10">
        <v>184</v>
      </c>
      <c r="K63" s="11">
        <v>124.1</v>
      </c>
      <c r="L63" s="12">
        <f t="shared" si="0"/>
        <v>2615.7660799999999</v>
      </c>
      <c r="M63" s="12">
        <f t="shared" si="1"/>
        <v>1764.2204919999999</v>
      </c>
      <c r="N63" s="9">
        <v>11.7286</v>
      </c>
      <c r="O63" s="9">
        <v>2.1995</v>
      </c>
      <c r="P63" s="15">
        <v>9.7899999999999991</v>
      </c>
      <c r="Q63" s="15">
        <v>97.875</v>
      </c>
      <c r="R63">
        <v>0.125</v>
      </c>
      <c r="S63" s="17">
        <v>186652.10550000001</v>
      </c>
      <c r="T63">
        <v>236.58699999999999</v>
      </c>
      <c r="U63" s="41">
        <f t="shared" si="2"/>
        <v>336334.91824399994</v>
      </c>
    </row>
    <row r="64" spans="1:21" x14ac:dyDescent="0.2">
      <c r="A64" s="7" t="s">
        <v>9</v>
      </c>
      <c r="B64" s="7" t="s">
        <v>83</v>
      </c>
      <c r="C64" s="8">
        <v>488330.74917713599</v>
      </c>
      <c r="D64" s="7">
        <v>460347</v>
      </c>
      <c r="E64" s="7">
        <v>444843</v>
      </c>
      <c r="F64" s="7">
        <v>947939</v>
      </c>
      <c r="G64" s="7">
        <v>922906</v>
      </c>
      <c r="H64" s="7">
        <v>1690938</v>
      </c>
      <c r="I64" s="2">
        <v>52.240454550000003</v>
      </c>
      <c r="J64" s="10">
        <v>888.4</v>
      </c>
      <c r="K64" s="11">
        <v>435.1</v>
      </c>
      <c r="L64" s="12">
        <f t="shared" si="0"/>
        <v>15022.293192000001</v>
      </c>
      <c r="M64" s="12">
        <f t="shared" si="1"/>
        <v>7357.2712380000003</v>
      </c>
      <c r="N64" s="9">
        <v>1.8989</v>
      </c>
      <c r="O64" s="9">
        <v>0.61040000000000005</v>
      </c>
      <c r="P64" s="15">
        <v>28.5</v>
      </c>
      <c r="Q64" s="15">
        <v>36.034999999999997</v>
      </c>
      <c r="R64">
        <v>0.23</v>
      </c>
      <c r="S64" s="17">
        <v>73887.328970000002</v>
      </c>
      <c r="T64">
        <v>391.39100000000002</v>
      </c>
      <c r="U64" s="41">
        <f t="shared" si="2"/>
        <v>661817.91475800006</v>
      </c>
    </row>
    <row r="65" spans="1:21" x14ac:dyDescent="0.2">
      <c r="A65" s="7" t="s">
        <v>9</v>
      </c>
      <c r="B65" s="7" t="s">
        <v>84</v>
      </c>
      <c r="C65" s="8">
        <v>679460.23866032599</v>
      </c>
      <c r="D65" s="7">
        <v>267597</v>
      </c>
      <c r="E65" s="7">
        <v>242429</v>
      </c>
      <c r="F65" s="7">
        <v>1224128</v>
      </c>
      <c r="G65" s="7">
        <v>1206848</v>
      </c>
      <c r="H65" s="7">
        <v>3124410</v>
      </c>
      <c r="I65" s="2">
        <v>6.0008333299999999</v>
      </c>
      <c r="J65" s="10">
        <v>888.4</v>
      </c>
      <c r="K65" s="11">
        <v>435.1</v>
      </c>
      <c r="L65" s="12">
        <f t="shared" si="0"/>
        <v>27757.258440000001</v>
      </c>
      <c r="M65" s="12">
        <f t="shared" si="1"/>
        <v>13594.30791</v>
      </c>
      <c r="N65" s="9">
        <v>1.8989</v>
      </c>
      <c r="O65" s="9">
        <v>0.61040000000000005</v>
      </c>
      <c r="P65" s="15">
        <v>28.5</v>
      </c>
      <c r="Q65" s="15">
        <v>36.034999999999997</v>
      </c>
      <c r="R65">
        <v>0.23</v>
      </c>
      <c r="S65" s="17">
        <v>73887.328970000002</v>
      </c>
      <c r="T65">
        <v>343.48899999999998</v>
      </c>
      <c r="U65" s="41">
        <f t="shared" si="2"/>
        <v>1073200.4664899998</v>
      </c>
    </row>
    <row r="66" spans="1:21" x14ac:dyDescent="0.2">
      <c r="A66" s="7" t="s">
        <v>9</v>
      </c>
      <c r="B66" s="7" t="s">
        <v>85</v>
      </c>
      <c r="C66" s="8">
        <v>2253913.0475229402</v>
      </c>
      <c r="D66" s="7">
        <v>363953</v>
      </c>
      <c r="E66" s="7">
        <v>346487</v>
      </c>
      <c r="F66" s="7">
        <v>2293988</v>
      </c>
      <c r="G66" s="7">
        <v>2144756</v>
      </c>
      <c r="H66" s="7">
        <v>6741023</v>
      </c>
      <c r="I66" s="2">
        <v>2.75E-2</v>
      </c>
      <c r="J66" s="10">
        <v>888.4</v>
      </c>
      <c r="K66" s="11">
        <v>435.1</v>
      </c>
      <c r="L66" s="12">
        <f t="shared" si="0"/>
        <v>59887.248331999996</v>
      </c>
      <c r="M66" s="12">
        <f t="shared" si="1"/>
        <v>29330.191073000002</v>
      </c>
      <c r="N66" s="9">
        <v>1.8989</v>
      </c>
      <c r="O66" s="9">
        <v>0.61040000000000005</v>
      </c>
      <c r="P66" s="15">
        <v>28.5</v>
      </c>
      <c r="Q66" s="15">
        <v>36.034999999999997</v>
      </c>
      <c r="R66">
        <v>0.23</v>
      </c>
      <c r="S66" s="17">
        <v>73887.328970000002</v>
      </c>
      <c r="T66">
        <v>255.661</v>
      </c>
      <c r="U66" s="41">
        <f t="shared" si="2"/>
        <v>1723416.681203</v>
      </c>
    </row>
    <row r="67" spans="1:21" x14ac:dyDescent="0.2">
      <c r="A67" s="7" t="s">
        <v>9</v>
      </c>
      <c r="B67" s="7" t="s">
        <v>86</v>
      </c>
      <c r="C67" s="8">
        <v>2056119.1924135899</v>
      </c>
      <c r="D67" s="7">
        <v>302423</v>
      </c>
      <c r="E67" s="7">
        <v>302223</v>
      </c>
      <c r="F67" s="7">
        <v>333147</v>
      </c>
      <c r="G67" s="7">
        <v>545286</v>
      </c>
      <c r="H67" s="7">
        <v>4727641</v>
      </c>
      <c r="I67" s="2">
        <v>0.68187500000000001</v>
      </c>
      <c r="J67" s="10">
        <v>888.4</v>
      </c>
      <c r="K67" s="11">
        <v>435.1</v>
      </c>
      <c r="L67" s="12">
        <f t="shared" ref="L67:L130" si="3">IFERROR($H67*J67/100000,"")</f>
        <v>42000.362644000001</v>
      </c>
      <c r="M67" s="12">
        <f t="shared" ref="M67:M130" si="4">IFERROR($H67*K67/100000,"")</f>
        <v>20569.965991000001</v>
      </c>
      <c r="N67" s="9">
        <v>1.8989</v>
      </c>
      <c r="O67" s="9">
        <v>0.61040000000000005</v>
      </c>
      <c r="P67" s="15">
        <v>28.5</v>
      </c>
      <c r="Q67" s="15">
        <v>36.034999999999997</v>
      </c>
      <c r="R67">
        <v>0.23</v>
      </c>
      <c r="S67" s="17">
        <v>73887.328970000002</v>
      </c>
      <c r="T67">
        <v>314.68299999999999</v>
      </c>
      <c r="U67" s="41">
        <f t="shared" ref="U67:U130" si="5">IFERROR($T67*$H67/1000,"")</f>
        <v>1487708.2528029999</v>
      </c>
    </row>
    <row r="68" spans="1:21" x14ac:dyDescent="0.2">
      <c r="A68" s="7" t="s">
        <v>9</v>
      </c>
      <c r="B68" s="7" t="s">
        <v>87</v>
      </c>
      <c r="C68" s="8">
        <v>676441.49072800996</v>
      </c>
      <c r="D68" s="7">
        <v>508606</v>
      </c>
      <c r="E68" s="7">
        <v>463516</v>
      </c>
      <c r="F68" s="7">
        <v>1119151</v>
      </c>
      <c r="G68" s="7">
        <v>1085101</v>
      </c>
      <c r="H68" s="7">
        <v>2347741</v>
      </c>
      <c r="I68" s="2">
        <v>49.893461539999997</v>
      </c>
      <c r="J68" s="10">
        <v>888.4</v>
      </c>
      <c r="K68" s="11">
        <v>435.1</v>
      </c>
      <c r="L68" s="12">
        <f t="shared" si="3"/>
        <v>20857.331043999999</v>
      </c>
      <c r="M68" s="12">
        <f t="shared" si="4"/>
        <v>10215.021091000001</v>
      </c>
      <c r="N68" s="9">
        <v>1.8989</v>
      </c>
      <c r="O68" s="9">
        <v>0.61040000000000005</v>
      </c>
      <c r="P68" s="15">
        <v>28.5</v>
      </c>
      <c r="Q68" s="15">
        <v>36.034999999999997</v>
      </c>
      <c r="R68">
        <v>0.23</v>
      </c>
      <c r="S68" s="17">
        <v>73887.328970000002</v>
      </c>
      <c r="T68">
        <v>387.99</v>
      </c>
      <c r="U68" s="41">
        <f t="shared" si="5"/>
        <v>910900.03058999998</v>
      </c>
    </row>
    <row r="69" spans="1:21" x14ac:dyDescent="0.2">
      <c r="A69" s="7" t="s">
        <v>9</v>
      </c>
      <c r="B69" s="7" t="s">
        <v>88</v>
      </c>
      <c r="C69" s="8">
        <v>1660479.12147347</v>
      </c>
      <c r="D69" s="7">
        <v>2825374</v>
      </c>
      <c r="E69" s="7">
        <v>2810238</v>
      </c>
      <c r="F69" s="7">
        <v>1775814</v>
      </c>
      <c r="G69" s="7">
        <v>1761313</v>
      </c>
      <c r="H69" s="7">
        <v>6718463</v>
      </c>
      <c r="I69" s="2">
        <v>24.21944444</v>
      </c>
      <c r="J69" s="10">
        <v>888.4</v>
      </c>
      <c r="K69" s="11">
        <v>435.1</v>
      </c>
      <c r="L69" s="12">
        <f t="shared" si="3"/>
        <v>59686.825292000001</v>
      </c>
      <c r="M69" s="12">
        <f t="shared" si="4"/>
        <v>29232.032513000002</v>
      </c>
      <c r="N69" s="9">
        <v>1.8989</v>
      </c>
      <c r="O69" s="9">
        <v>0.61040000000000005</v>
      </c>
      <c r="P69" s="15">
        <v>28.5</v>
      </c>
      <c r="Q69" s="15">
        <v>36.034999999999997</v>
      </c>
      <c r="R69">
        <v>0.23</v>
      </c>
      <c r="S69" s="17">
        <v>73887.328970000002</v>
      </c>
      <c r="T69">
        <v>329.81700000000001</v>
      </c>
      <c r="U69" s="41">
        <f t="shared" si="5"/>
        <v>2215863.3112709997</v>
      </c>
    </row>
    <row r="70" spans="1:21" x14ac:dyDescent="0.2">
      <c r="A70" s="7" t="s">
        <v>9</v>
      </c>
      <c r="B70" s="7" t="s">
        <v>89</v>
      </c>
      <c r="C70" s="8">
        <v>1810061.4405080299</v>
      </c>
      <c r="D70" s="7">
        <v>3842297</v>
      </c>
      <c r="E70" s="7">
        <v>3669860</v>
      </c>
      <c r="F70" s="13"/>
      <c r="G70" s="13"/>
      <c r="H70" s="7">
        <v>4599825</v>
      </c>
      <c r="I70" s="2">
        <v>2.7941666700000001</v>
      </c>
      <c r="J70" s="10">
        <v>888.4</v>
      </c>
      <c r="K70" s="11">
        <v>435.1</v>
      </c>
      <c r="L70" s="12">
        <f t="shared" si="3"/>
        <v>40864.845300000001</v>
      </c>
      <c r="M70" s="12">
        <f t="shared" si="4"/>
        <v>20013.838575000002</v>
      </c>
      <c r="N70" s="9">
        <v>1.8989</v>
      </c>
      <c r="O70" s="9">
        <v>0.61040000000000005</v>
      </c>
      <c r="P70" s="15">
        <v>28.5</v>
      </c>
      <c r="Q70" s="15">
        <v>36.034999999999997</v>
      </c>
      <c r="R70">
        <v>0.23</v>
      </c>
      <c r="S70" s="17">
        <v>73887.328970000002</v>
      </c>
      <c r="T70">
        <v>350.67599999999999</v>
      </c>
      <c r="U70" s="41">
        <f t="shared" si="5"/>
        <v>1613048.2317000001</v>
      </c>
    </row>
    <row r="71" spans="1:21" x14ac:dyDescent="0.2">
      <c r="A71" s="7" t="s">
        <v>9</v>
      </c>
      <c r="B71" s="7" t="s">
        <v>90</v>
      </c>
      <c r="C71" s="8">
        <v>2040736.1459311999</v>
      </c>
      <c r="D71" s="7">
        <v>4937413</v>
      </c>
      <c r="E71" s="7">
        <v>4817763</v>
      </c>
      <c r="F71" s="13"/>
      <c r="G71" s="13"/>
      <c r="H71" s="7">
        <v>5870532</v>
      </c>
      <c r="I71" s="2">
        <v>0.83730769000000005</v>
      </c>
      <c r="J71" s="10">
        <v>888.4</v>
      </c>
      <c r="K71" s="11">
        <v>435.1</v>
      </c>
      <c r="L71" s="12">
        <f t="shared" si="3"/>
        <v>52153.806288</v>
      </c>
      <c r="M71" s="12">
        <f t="shared" si="4"/>
        <v>25542.684732000002</v>
      </c>
      <c r="N71" s="9">
        <v>1.8989</v>
      </c>
      <c r="O71" s="9">
        <v>0.61040000000000005</v>
      </c>
      <c r="P71" s="15">
        <v>28.5</v>
      </c>
      <c r="Q71" s="15">
        <v>36.034999999999997</v>
      </c>
      <c r="R71">
        <v>0.23</v>
      </c>
      <c r="S71" s="17">
        <v>73887.328970000002</v>
      </c>
      <c r="T71">
        <v>343.81599999999997</v>
      </c>
      <c r="U71" s="41">
        <f t="shared" si="5"/>
        <v>2018382.8301119998</v>
      </c>
    </row>
    <row r="72" spans="1:21" x14ac:dyDescent="0.2">
      <c r="A72" s="7" t="s">
        <v>9</v>
      </c>
      <c r="B72" s="7" t="s">
        <v>91</v>
      </c>
      <c r="C72" s="8">
        <v>1148030.0949480301</v>
      </c>
      <c r="D72" s="7">
        <v>1884696</v>
      </c>
      <c r="E72" s="7">
        <v>1853187</v>
      </c>
      <c r="F72" s="13"/>
      <c r="G72" s="13"/>
      <c r="H72" s="7">
        <v>5696823</v>
      </c>
      <c r="I72" s="5">
        <v>0</v>
      </c>
      <c r="J72" s="10">
        <v>888.4</v>
      </c>
      <c r="K72" s="11">
        <v>435.1</v>
      </c>
      <c r="L72" s="12">
        <f t="shared" si="3"/>
        <v>50610.575531999995</v>
      </c>
      <c r="M72" s="12">
        <f t="shared" si="4"/>
        <v>24786.876873000001</v>
      </c>
      <c r="N72" s="9">
        <v>1.8989</v>
      </c>
      <c r="O72" s="9">
        <v>0.61040000000000005</v>
      </c>
      <c r="P72" s="15">
        <v>28.5</v>
      </c>
      <c r="Q72" s="15">
        <v>36.034999999999997</v>
      </c>
      <c r="R72">
        <v>0.23</v>
      </c>
      <c r="S72" s="17">
        <v>73887.328970000002</v>
      </c>
      <c r="T72">
        <v>228.536</v>
      </c>
      <c r="U72" s="41">
        <f t="shared" si="5"/>
        <v>1301929.1411280001</v>
      </c>
    </row>
    <row r="73" spans="1:21" x14ac:dyDescent="0.2">
      <c r="A73" s="7" t="s">
        <v>9</v>
      </c>
      <c r="B73" s="7" t="s">
        <v>92</v>
      </c>
      <c r="C73" s="8">
        <v>2430280.32694072</v>
      </c>
      <c r="D73" s="7">
        <v>664842</v>
      </c>
      <c r="E73" s="7">
        <v>634921</v>
      </c>
      <c r="F73" s="13"/>
      <c r="G73" s="13"/>
      <c r="H73" s="7">
        <v>10939009</v>
      </c>
      <c r="I73" s="2">
        <v>21.074428569999998</v>
      </c>
      <c r="J73" s="10">
        <v>888.4</v>
      </c>
      <c r="K73" s="11">
        <v>435.1</v>
      </c>
      <c r="L73" s="12">
        <f t="shared" si="3"/>
        <v>97182.155956000002</v>
      </c>
      <c r="M73" s="12">
        <f t="shared" si="4"/>
        <v>47595.628159000007</v>
      </c>
      <c r="N73" s="9">
        <v>1.8989</v>
      </c>
      <c r="O73" s="9">
        <v>0.61040000000000005</v>
      </c>
      <c r="P73" s="15">
        <v>28.5</v>
      </c>
      <c r="Q73" s="15">
        <v>36.034999999999997</v>
      </c>
      <c r="R73">
        <v>0.23</v>
      </c>
      <c r="S73" s="17">
        <v>73887.328970000002</v>
      </c>
      <c r="T73">
        <v>371.63900000000001</v>
      </c>
      <c r="U73" s="41">
        <f t="shared" si="5"/>
        <v>4065362.3657510001</v>
      </c>
    </row>
    <row r="74" spans="1:21" x14ac:dyDescent="0.2">
      <c r="A74" s="7" t="s">
        <v>9</v>
      </c>
      <c r="B74" s="7" t="s">
        <v>93</v>
      </c>
      <c r="C74" s="8">
        <v>813666.88888275204</v>
      </c>
      <c r="D74" s="7">
        <v>1601344</v>
      </c>
      <c r="E74" s="7">
        <v>1616914</v>
      </c>
      <c r="F74" s="13"/>
      <c r="G74" s="13"/>
      <c r="H74" s="7">
        <v>4683560</v>
      </c>
      <c r="I74" s="2">
        <v>23.751129030000001</v>
      </c>
      <c r="J74" s="10">
        <v>888.4</v>
      </c>
      <c r="K74" s="11">
        <v>435.1</v>
      </c>
      <c r="L74" s="12">
        <f t="shared" si="3"/>
        <v>41608.747040000002</v>
      </c>
      <c r="M74" s="12">
        <f t="shared" si="4"/>
        <v>20378.169559999998</v>
      </c>
      <c r="N74" s="9">
        <v>1.8989</v>
      </c>
      <c r="O74" s="9">
        <v>0.61040000000000005</v>
      </c>
      <c r="P74" s="15">
        <v>28.5</v>
      </c>
      <c r="Q74" s="15">
        <v>36.034999999999997</v>
      </c>
      <c r="R74">
        <v>0.23</v>
      </c>
      <c r="S74" s="17">
        <v>73887.328970000002</v>
      </c>
      <c r="T74">
        <v>332.66</v>
      </c>
      <c r="U74" s="41">
        <f t="shared" si="5"/>
        <v>1558033.0696</v>
      </c>
    </row>
    <row r="75" spans="1:21" x14ac:dyDescent="0.2">
      <c r="A75" s="7" t="s">
        <v>9</v>
      </c>
      <c r="B75" s="7" t="s">
        <v>94</v>
      </c>
      <c r="C75" s="8">
        <v>697245.93471660395</v>
      </c>
      <c r="D75" s="7">
        <v>1242839</v>
      </c>
      <c r="E75" s="7">
        <v>1218330</v>
      </c>
      <c r="F75" s="7">
        <v>525632</v>
      </c>
      <c r="G75" s="7">
        <v>524743</v>
      </c>
      <c r="H75" s="7">
        <v>3130805</v>
      </c>
      <c r="I75" s="2">
        <v>5.9482142900000001</v>
      </c>
      <c r="J75" s="10">
        <v>888.4</v>
      </c>
      <c r="K75" s="11">
        <v>435.1</v>
      </c>
      <c r="L75" s="12">
        <f t="shared" si="3"/>
        <v>27814.071619999999</v>
      </c>
      <c r="M75" s="12">
        <f t="shared" si="4"/>
        <v>13622.132555</v>
      </c>
      <c r="N75" s="9">
        <v>1.8989</v>
      </c>
      <c r="O75" s="9">
        <v>0.61040000000000005</v>
      </c>
      <c r="P75" s="15">
        <v>28.5</v>
      </c>
      <c r="Q75" s="15">
        <v>36.034999999999997</v>
      </c>
      <c r="R75">
        <v>0.23</v>
      </c>
      <c r="S75" s="17">
        <v>73887.328970000002</v>
      </c>
      <c r="T75">
        <v>362.09399999999999</v>
      </c>
      <c r="U75" s="41">
        <f t="shared" si="5"/>
        <v>1133645.7056700001</v>
      </c>
    </row>
    <row r="76" spans="1:21" x14ac:dyDescent="0.2">
      <c r="A76" s="7" t="s">
        <v>9</v>
      </c>
      <c r="B76" s="7" t="s">
        <v>95</v>
      </c>
      <c r="C76" s="8">
        <v>1383071.1597478201</v>
      </c>
      <c r="D76" s="7">
        <v>2303180</v>
      </c>
      <c r="E76" s="7">
        <v>2204097</v>
      </c>
      <c r="F76" s="13"/>
      <c r="G76" s="13"/>
      <c r="H76" s="7">
        <v>6374629</v>
      </c>
      <c r="I76" s="2">
        <v>4.3893750000000002</v>
      </c>
      <c r="J76" s="10">
        <v>888.4</v>
      </c>
      <c r="K76" s="11">
        <v>435.1</v>
      </c>
      <c r="L76" s="12">
        <f t="shared" si="3"/>
        <v>56632.204035999996</v>
      </c>
      <c r="M76" s="12">
        <f t="shared" si="4"/>
        <v>27736.010779</v>
      </c>
      <c r="N76" s="9">
        <v>1.8989</v>
      </c>
      <c r="O76" s="9">
        <v>0.61040000000000005</v>
      </c>
      <c r="P76" s="15">
        <v>28.5</v>
      </c>
      <c r="Q76" s="15">
        <v>36.034999999999997</v>
      </c>
      <c r="R76">
        <v>0.23</v>
      </c>
      <c r="S76" s="17">
        <v>73887.328970000002</v>
      </c>
      <c r="T76">
        <v>377.05799999999999</v>
      </c>
      <c r="U76" s="41">
        <f t="shared" si="5"/>
        <v>2403604.861482</v>
      </c>
    </row>
    <row r="77" spans="1:21" x14ac:dyDescent="0.2">
      <c r="A77" s="7" t="s">
        <v>9</v>
      </c>
      <c r="B77" s="7" t="s">
        <v>96</v>
      </c>
      <c r="C77" s="8">
        <v>1200111.1687247399</v>
      </c>
      <c r="D77" s="7">
        <v>3373852</v>
      </c>
      <c r="E77" s="7">
        <v>3301602</v>
      </c>
      <c r="F77" s="7">
        <v>273326</v>
      </c>
      <c r="G77" s="7">
        <v>268201</v>
      </c>
      <c r="H77" s="7">
        <v>4826171</v>
      </c>
      <c r="I77" s="2">
        <v>2.2621875</v>
      </c>
      <c r="J77" s="10">
        <v>888.4</v>
      </c>
      <c r="K77" s="11">
        <v>435.1</v>
      </c>
      <c r="L77" s="12">
        <f t="shared" si="3"/>
        <v>42875.703163999999</v>
      </c>
      <c r="M77" s="12">
        <f t="shared" si="4"/>
        <v>20998.670021000002</v>
      </c>
      <c r="N77" s="9">
        <v>1.8989</v>
      </c>
      <c r="O77" s="9">
        <v>0.61040000000000005</v>
      </c>
      <c r="P77" s="15">
        <v>28.5</v>
      </c>
      <c r="Q77" s="15">
        <v>36.034999999999997</v>
      </c>
      <c r="R77">
        <v>0.23</v>
      </c>
      <c r="S77" s="17">
        <v>73887.328970000002</v>
      </c>
      <c r="T77">
        <v>352.20600000000002</v>
      </c>
      <c r="U77" s="41">
        <f t="shared" si="5"/>
        <v>1699806.383226</v>
      </c>
    </row>
    <row r="78" spans="1:21" x14ac:dyDescent="0.2">
      <c r="A78" s="7" t="s">
        <v>9</v>
      </c>
      <c r="B78" s="7" t="s">
        <v>97</v>
      </c>
      <c r="C78" s="8">
        <v>1229473.7521687001</v>
      </c>
      <c r="D78" s="7">
        <v>726022</v>
      </c>
      <c r="E78" s="7">
        <v>710291</v>
      </c>
      <c r="F78" s="7">
        <v>119062</v>
      </c>
      <c r="G78" s="7">
        <v>116561</v>
      </c>
      <c r="H78" s="7">
        <v>2805949</v>
      </c>
      <c r="I78" s="2">
        <v>5.9230770000000002E-2</v>
      </c>
      <c r="J78" s="10">
        <v>888.4</v>
      </c>
      <c r="K78" s="11">
        <v>435.1</v>
      </c>
      <c r="L78" s="12">
        <f t="shared" si="3"/>
        <v>24928.050916</v>
      </c>
      <c r="M78" s="12">
        <f t="shared" si="4"/>
        <v>12208.684099</v>
      </c>
      <c r="N78" s="9">
        <v>1.8989</v>
      </c>
      <c r="O78" s="9">
        <v>0.61040000000000005</v>
      </c>
      <c r="P78" s="15">
        <v>28.5</v>
      </c>
      <c r="Q78" s="15">
        <v>36.034999999999997</v>
      </c>
      <c r="R78">
        <v>0.23</v>
      </c>
      <c r="S78" s="17">
        <v>73887.328970000002</v>
      </c>
      <c r="T78">
        <v>324.24</v>
      </c>
      <c r="U78" s="41">
        <f t="shared" si="5"/>
        <v>909800.90376000002</v>
      </c>
    </row>
    <row r="79" spans="1:21" x14ac:dyDescent="0.2">
      <c r="A79" s="7" t="s">
        <v>9</v>
      </c>
      <c r="B79" s="7" t="s">
        <v>98</v>
      </c>
      <c r="C79" s="13">
        <v>466271.04797583498</v>
      </c>
      <c r="D79" s="7"/>
      <c r="E79" s="13"/>
      <c r="F79" s="7">
        <v>238202</v>
      </c>
      <c r="G79" s="7">
        <v>221784</v>
      </c>
      <c r="H79" s="7">
        <v>2432500</v>
      </c>
      <c r="I79" s="2">
        <v>12.173571430000001</v>
      </c>
      <c r="J79" s="10">
        <v>888.4</v>
      </c>
      <c r="K79" s="11">
        <v>435.1</v>
      </c>
      <c r="L79" s="12">
        <f t="shared" si="3"/>
        <v>21610.33</v>
      </c>
      <c r="M79" s="12">
        <f t="shared" si="4"/>
        <v>10583.807500000001</v>
      </c>
      <c r="N79" s="9">
        <v>1.8989</v>
      </c>
      <c r="O79" s="9">
        <v>0.61040000000000005</v>
      </c>
      <c r="P79" s="15">
        <v>28.5</v>
      </c>
      <c r="Q79" s="15">
        <v>36.034999999999997</v>
      </c>
      <c r="R79">
        <v>0.23</v>
      </c>
      <c r="S79" s="17">
        <v>73887.328970000002</v>
      </c>
      <c r="T79">
        <v>327.30599999999998</v>
      </c>
      <c r="U79" s="41">
        <f t="shared" si="5"/>
        <v>796171.84499999997</v>
      </c>
    </row>
    <row r="80" spans="1:21" x14ac:dyDescent="0.2">
      <c r="A80" s="7" t="s">
        <v>9</v>
      </c>
      <c r="B80" s="7" t="s">
        <v>99</v>
      </c>
      <c r="C80" s="8">
        <v>692796.36060957995</v>
      </c>
      <c r="D80" s="7">
        <v>2433160</v>
      </c>
      <c r="E80" s="7">
        <v>2389420</v>
      </c>
      <c r="F80" s="13"/>
      <c r="G80" s="13"/>
      <c r="H80" s="7">
        <v>3418095</v>
      </c>
      <c r="I80" s="2">
        <v>29.895833329999999</v>
      </c>
      <c r="J80" s="10">
        <v>888.4</v>
      </c>
      <c r="K80" s="11">
        <v>435.1</v>
      </c>
      <c r="L80" s="12">
        <f t="shared" si="3"/>
        <v>30366.35598</v>
      </c>
      <c r="M80" s="12">
        <f t="shared" si="4"/>
        <v>14872.131345</v>
      </c>
      <c r="N80" s="9">
        <v>1.8989</v>
      </c>
      <c r="O80" s="9">
        <v>0.61040000000000005</v>
      </c>
      <c r="P80" s="15">
        <v>28.5</v>
      </c>
      <c r="Q80" s="15">
        <v>36.034999999999997</v>
      </c>
      <c r="R80">
        <v>0.23</v>
      </c>
      <c r="S80" s="17">
        <v>73887.328970000002</v>
      </c>
      <c r="T80">
        <v>275.21600000000001</v>
      </c>
      <c r="U80" s="41">
        <f t="shared" si="5"/>
        <v>940714.43351999996</v>
      </c>
    </row>
    <row r="81" spans="1:21" x14ac:dyDescent="0.2">
      <c r="A81" s="7" t="s">
        <v>9</v>
      </c>
      <c r="B81" s="7" t="s">
        <v>100</v>
      </c>
      <c r="C81" s="8">
        <v>707705.63544076204</v>
      </c>
      <c r="D81" s="7">
        <v>1245068</v>
      </c>
      <c r="E81" s="7">
        <v>1183226</v>
      </c>
      <c r="F81" s="7">
        <v>1079415</v>
      </c>
      <c r="G81" s="7">
        <v>1086762</v>
      </c>
      <c r="H81" s="7">
        <v>3179814</v>
      </c>
      <c r="I81" s="2">
        <v>22.32</v>
      </c>
      <c r="J81" s="10">
        <v>888.4</v>
      </c>
      <c r="K81" s="11">
        <v>435.1</v>
      </c>
      <c r="L81" s="12">
        <f t="shared" si="3"/>
        <v>28249.467575999999</v>
      </c>
      <c r="M81" s="12">
        <f t="shared" si="4"/>
        <v>13835.370714000001</v>
      </c>
      <c r="N81" s="9">
        <v>1.8989</v>
      </c>
      <c r="O81" s="9">
        <v>0.61040000000000005</v>
      </c>
      <c r="P81" s="15">
        <v>28.5</v>
      </c>
      <c r="Q81" s="15">
        <v>36.034999999999997</v>
      </c>
      <c r="R81">
        <v>0.23</v>
      </c>
      <c r="S81" s="17">
        <v>73887.328970000002</v>
      </c>
      <c r="T81">
        <v>374.50099999999998</v>
      </c>
      <c r="U81" s="41">
        <f t="shared" si="5"/>
        <v>1190843.5228139998</v>
      </c>
    </row>
    <row r="82" spans="1:21" x14ac:dyDescent="0.2">
      <c r="A82" s="7" t="s">
        <v>9</v>
      </c>
      <c r="B82" s="7" t="s">
        <v>101</v>
      </c>
      <c r="C82" s="8">
        <v>1112332.33064733</v>
      </c>
      <c r="D82" s="7">
        <v>1434931</v>
      </c>
      <c r="E82" s="7">
        <v>1262856</v>
      </c>
      <c r="F82" s="7">
        <v>1174491</v>
      </c>
      <c r="G82" s="7">
        <v>1043871</v>
      </c>
      <c r="H82" s="7">
        <v>10397972</v>
      </c>
      <c r="I82" s="2">
        <v>6.7135294099999996</v>
      </c>
      <c r="J82" s="10">
        <v>888.4</v>
      </c>
      <c r="K82" s="11">
        <v>435.1</v>
      </c>
      <c r="L82" s="12">
        <f t="shared" si="3"/>
        <v>92375.583247999995</v>
      </c>
      <c r="M82" s="12">
        <f t="shared" si="4"/>
        <v>45241.576172000001</v>
      </c>
      <c r="N82" s="9">
        <v>1.8989</v>
      </c>
      <c r="O82" s="9">
        <v>0.61040000000000005</v>
      </c>
      <c r="P82" s="15">
        <v>28.5</v>
      </c>
      <c r="Q82" s="15">
        <v>36.034999999999997</v>
      </c>
      <c r="R82">
        <v>0.23</v>
      </c>
      <c r="S82" s="17">
        <v>73887.328970000002</v>
      </c>
      <c r="T82">
        <v>145.56899999999999</v>
      </c>
      <c r="U82" s="41">
        <f t="shared" si="5"/>
        <v>1513622.3860679998</v>
      </c>
    </row>
    <row r="83" spans="1:21" x14ac:dyDescent="0.2">
      <c r="A83" s="7" t="s">
        <v>9</v>
      </c>
      <c r="B83" s="7" t="s">
        <v>102</v>
      </c>
      <c r="C83" s="8">
        <v>518395.50565659802</v>
      </c>
      <c r="D83" s="7">
        <v>214361</v>
      </c>
      <c r="E83" s="7">
        <v>209763</v>
      </c>
      <c r="F83" s="7">
        <v>955232</v>
      </c>
      <c r="G83" s="7">
        <v>935221</v>
      </c>
      <c r="H83" s="7">
        <v>1953747</v>
      </c>
      <c r="I83" s="2">
        <v>29.18727273</v>
      </c>
      <c r="J83" s="10">
        <v>888.4</v>
      </c>
      <c r="K83" s="11">
        <v>435.1</v>
      </c>
      <c r="L83" s="12">
        <f t="shared" si="3"/>
        <v>17357.088348000001</v>
      </c>
      <c r="M83" s="12">
        <f t="shared" si="4"/>
        <v>8500.753197</v>
      </c>
      <c r="N83" s="9">
        <v>1.8989</v>
      </c>
      <c r="O83" s="9">
        <v>0.61040000000000005</v>
      </c>
      <c r="P83" s="15">
        <v>28.5</v>
      </c>
      <c r="Q83" s="15">
        <v>36.034999999999997</v>
      </c>
      <c r="R83">
        <v>0.23</v>
      </c>
      <c r="S83" s="17">
        <v>73887.328970000002</v>
      </c>
      <c r="T83">
        <v>401.85</v>
      </c>
      <c r="U83" s="41">
        <f t="shared" si="5"/>
        <v>785113.23195000004</v>
      </c>
    </row>
    <row r="84" spans="1:21" x14ac:dyDescent="0.2">
      <c r="A84" s="7" t="s">
        <v>9</v>
      </c>
      <c r="B84" s="7" t="s">
        <v>103</v>
      </c>
      <c r="C84" s="8">
        <v>1008768.67097</v>
      </c>
      <c r="D84" s="7">
        <v>1426804</v>
      </c>
      <c r="E84" s="7">
        <v>1371749</v>
      </c>
      <c r="F84" s="13"/>
      <c r="G84" s="13"/>
      <c r="H84" s="7">
        <v>2822775</v>
      </c>
      <c r="I84" s="2">
        <v>8.3868749999999999</v>
      </c>
      <c r="J84" s="10">
        <v>888.4</v>
      </c>
      <c r="K84" s="11">
        <v>435.1</v>
      </c>
      <c r="L84" s="12">
        <f t="shared" si="3"/>
        <v>25077.533100000001</v>
      </c>
      <c r="M84" s="12">
        <f t="shared" si="4"/>
        <v>12281.894025</v>
      </c>
      <c r="N84" s="9">
        <v>1.8989</v>
      </c>
      <c r="O84" s="9">
        <v>0.61040000000000005</v>
      </c>
      <c r="P84" s="15">
        <v>28.5</v>
      </c>
      <c r="Q84" s="15">
        <v>36.034999999999997</v>
      </c>
      <c r="R84">
        <v>0.23</v>
      </c>
      <c r="S84" s="17">
        <v>73887.328970000002</v>
      </c>
      <c r="T84">
        <v>334.35700000000003</v>
      </c>
      <c r="U84" s="41">
        <f t="shared" si="5"/>
        <v>943814.58067500009</v>
      </c>
    </row>
    <row r="85" spans="1:21" x14ac:dyDescent="0.2">
      <c r="A85" s="7" t="s">
        <v>9</v>
      </c>
      <c r="B85" s="7" t="s">
        <v>104</v>
      </c>
      <c r="C85" s="8">
        <v>955691.52764655603</v>
      </c>
      <c r="D85" s="7">
        <v>215287</v>
      </c>
      <c r="E85" s="7">
        <v>205872</v>
      </c>
      <c r="F85" s="7">
        <v>1611886</v>
      </c>
      <c r="G85" s="7">
        <v>1558572</v>
      </c>
      <c r="H85" s="7">
        <v>3738949</v>
      </c>
      <c r="I85" s="2">
        <v>37.900937499999998</v>
      </c>
      <c r="J85" s="10">
        <v>888.4</v>
      </c>
      <c r="K85" s="11">
        <v>435.1</v>
      </c>
      <c r="L85" s="12">
        <f t="shared" si="3"/>
        <v>33216.822915999997</v>
      </c>
      <c r="M85" s="12">
        <f t="shared" si="4"/>
        <v>16268.167099</v>
      </c>
      <c r="N85" s="9">
        <v>1.8989</v>
      </c>
      <c r="O85" s="9">
        <v>0.61040000000000005</v>
      </c>
      <c r="P85" s="15">
        <v>28.5</v>
      </c>
      <c r="Q85" s="15">
        <v>36.034999999999997</v>
      </c>
      <c r="R85">
        <v>0.23</v>
      </c>
      <c r="S85" s="17">
        <v>73887.328970000002</v>
      </c>
      <c r="T85">
        <v>378.44799999999998</v>
      </c>
      <c r="U85" s="41">
        <f t="shared" si="5"/>
        <v>1414997.7711519999</v>
      </c>
    </row>
    <row r="86" spans="1:21" x14ac:dyDescent="0.2">
      <c r="A86" s="7" t="s">
        <v>9</v>
      </c>
      <c r="B86" s="7" t="s">
        <v>105</v>
      </c>
      <c r="C86" s="8">
        <v>1454978.4254890101</v>
      </c>
      <c r="D86" s="7">
        <v>326949</v>
      </c>
      <c r="E86" s="7">
        <v>321274</v>
      </c>
      <c r="F86" s="7">
        <v>707476</v>
      </c>
      <c r="G86" s="7">
        <v>697824</v>
      </c>
      <c r="H86" s="7">
        <v>3854132</v>
      </c>
      <c r="I86" s="2">
        <v>4.0718181800000002</v>
      </c>
      <c r="J86" s="10">
        <v>888.4</v>
      </c>
      <c r="K86" s="11">
        <v>435.1</v>
      </c>
      <c r="L86" s="12">
        <f t="shared" si="3"/>
        <v>34240.108688</v>
      </c>
      <c r="M86" s="12">
        <f t="shared" si="4"/>
        <v>16769.328332000001</v>
      </c>
      <c r="N86" s="9">
        <v>1.8989</v>
      </c>
      <c r="O86" s="9">
        <v>0.61040000000000005</v>
      </c>
      <c r="P86" s="15">
        <v>28.5</v>
      </c>
      <c r="Q86" s="15">
        <v>36.034999999999997</v>
      </c>
      <c r="R86">
        <v>0.23</v>
      </c>
      <c r="S86" s="17">
        <v>73887.328970000002</v>
      </c>
      <c r="T86">
        <v>319.43200000000002</v>
      </c>
      <c r="U86" s="41">
        <f t="shared" si="5"/>
        <v>1231133.0930240001</v>
      </c>
    </row>
    <row r="87" spans="1:21" x14ac:dyDescent="0.2">
      <c r="A87" s="7" t="s">
        <v>9</v>
      </c>
      <c r="B87" s="7" t="s">
        <v>106</v>
      </c>
      <c r="C87" s="8">
        <v>1130393.78693466</v>
      </c>
      <c r="D87" s="7">
        <v>388521</v>
      </c>
      <c r="E87" s="7">
        <v>361165</v>
      </c>
      <c r="F87" s="7">
        <v>2562113</v>
      </c>
      <c r="G87" s="7">
        <v>2344430</v>
      </c>
      <c r="H87" s="7">
        <v>4155240</v>
      </c>
      <c r="I87" s="2">
        <v>33.7123913</v>
      </c>
      <c r="J87" s="10">
        <v>888.4</v>
      </c>
      <c r="K87" s="11">
        <v>435.1</v>
      </c>
      <c r="L87" s="12">
        <f t="shared" si="3"/>
        <v>36915.152159999998</v>
      </c>
      <c r="M87" s="12">
        <f t="shared" si="4"/>
        <v>18079.449240000002</v>
      </c>
      <c r="N87" s="9">
        <v>1.8989</v>
      </c>
      <c r="O87" s="9">
        <v>0.61040000000000005</v>
      </c>
      <c r="P87" s="15">
        <v>28.5</v>
      </c>
      <c r="Q87" s="15">
        <v>36.034999999999997</v>
      </c>
      <c r="R87">
        <v>0.23</v>
      </c>
      <c r="S87" s="17">
        <v>73887.328970000002</v>
      </c>
      <c r="T87">
        <v>390.78699999999998</v>
      </c>
      <c r="U87" s="41">
        <f t="shared" si="5"/>
        <v>1623813.7738799998</v>
      </c>
    </row>
    <row r="88" spans="1:21" x14ac:dyDescent="0.2">
      <c r="A88" s="7" t="s">
        <v>9</v>
      </c>
      <c r="B88" s="7" t="s">
        <v>107</v>
      </c>
      <c r="C88" s="8">
        <v>620015.50488460402</v>
      </c>
      <c r="D88" s="7">
        <v>597460</v>
      </c>
      <c r="E88" s="7">
        <v>604223</v>
      </c>
      <c r="F88" s="7">
        <v>1360313</v>
      </c>
      <c r="G88" s="7">
        <v>1341077</v>
      </c>
      <c r="H88" s="13">
        <v>2444717</v>
      </c>
      <c r="I88" s="5">
        <v>11.16791667</v>
      </c>
      <c r="J88" s="10">
        <v>888.4</v>
      </c>
      <c r="K88" s="11">
        <v>435.1</v>
      </c>
      <c r="L88" s="12">
        <f t="shared" si="3"/>
        <v>21718.865827999998</v>
      </c>
      <c r="M88" s="12">
        <f t="shared" si="4"/>
        <v>10636.963667</v>
      </c>
      <c r="N88" s="9">
        <v>1.8989</v>
      </c>
      <c r="O88" s="9">
        <v>0.61040000000000005</v>
      </c>
      <c r="P88" s="15">
        <v>28.5</v>
      </c>
      <c r="Q88" s="15">
        <v>36.034999999999997</v>
      </c>
      <c r="R88">
        <v>0.23</v>
      </c>
      <c r="S88" s="17">
        <v>73887.328970000002</v>
      </c>
      <c r="T88">
        <v>445.964</v>
      </c>
      <c r="U88" s="41">
        <f t="shared" si="5"/>
        <v>1090255.7721879999</v>
      </c>
    </row>
    <row r="89" spans="1:21" x14ac:dyDescent="0.2">
      <c r="A89" s="7" t="s">
        <v>225</v>
      </c>
      <c r="B89" s="7" t="s">
        <v>108</v>
      </c>
      <c r="C89" s="8">
        <v>1759415.1147369901</v>
      </c>
      <c r="D89" s="7">
        <v>1497898</v>
      </c>
      <c r="E89" s="7">
        <v>1001783</v>
      </c>
      <c r="F89" s="7">
        <v>492830</v>
      </c>
      <c r="G89" s="7">
        <v>451609</v>
      </c>
      <c r="H89" s="7">
        <v>23877520</v>
      </c>
      <c r="I89" s="9">
        <v>0</v>
      </c>
      <c r="J89" s="10">
        <v>31.5</v>
      </c>
      <c r="K89" s="11">
        <v>2.2999999999999998</v>
      </c>
      <c r="L89" s="12">
        <f t="shared" si="3"/>
        <v>7521.4188000000004</v>
      </c>
      <c r="M89" s="12">
        <f t="shared" si="4"/>
        <v>549.18295999999998</v>
      </c>
      <c r="N89" s="9">
        <v>3.3340000000000001</v>
      </c>
      <c r="O89" s="9">
        <v>0.78149999999999997</v>
      </c>
      <c r="P89" s="15">
        <v>14.1</v>
      </c>
      <c r="Q89" s="15">
        <v>96.125</v>
      </c>
      <c r="R89">
        <v>0.126</v>
      </c>
      <c r="S89" s="17">
        <v>273512.19620800001</v>
      </c>
      <c r="T89">
        <v>72.257999999999996</v>
      </c>
      <c r="U89" s="41">
        <f t="shared" si="5"/>
        <v>1725341.8401599999</v>
      </c>
    </row>
    <row r="90" spans="1:21" x14ac:dyDescent="0.2">
      <c r="A90" s="7" t="s">
        <v>225</v>
      </c>
      <c r="B90" s="7" t="s">
        <v>109</v>
      </c>
      <c r="C90" s="8">
        <v>175847.211743639</v>
      </c>
      <c r="D90" s="7">
        <v>934316</v>
      </c>
      <c r="E90" s="7">
        <v>779819</v>
      </c>
      <c r="F90" s="7">
        <v>168306</v>
      </c>
      <c r="G90" s="7">
        <v>129937</v>
      </c>
      <c r="H90" s="7">
        <v>1275883</v>
      </c>
      <c r="I90" s="9">
        <v>0</v>
      </c>
      <c r="J90" s="10">
        <v>31.5</v>
      </c>
      <c r="K90" s="11">
        <v>2.2999999999999998</v>
      </c>
      <c r="L90" s="12">
        <f t="shared" si="3"/>
        <v>401.90314499999999</v>
      </c>
      <c r="M90" s="12">
        <f t="shared" si="4"/>
        <v>29.345309</v>
      </c>
      <c r="N90" s="9">
        <v>3.3340000000000001</v>
      </c>
      <c r="O90" s="9">
        <v>0.78149999999999997</v>
      </c>
      <c r="P90" s="15">
        <v>14.1</v>
      </c>
      <c r="Q90" s="15">
        <v>96.125</v>
      </c>
      <c r="R90">
        <v>0.126</v>
      </c>
      <c r="S90" s="17">
        <v>273512.19620800001</v>
      </c>
      <c r="T90">
        <v>104.991</v>
      </c>
      <c r="U90" s="41">
        <f t="shared" si="5"/>
        <v>133956.23205300001</v>
      </c>
    </row>
    <row r="91" spans="1:21" x14ac:dyDescent="0.2">
      <c r="A91" s="7" t="s">
        <v>225</v>
      </c>
      <c r="B91" s="7" t="s">
        <v>110</v>
      </c>
      <c r="C91" s="8">
        <v>52613.185250543604</v>
      </c>
      <c r="D91" s="7">
        <v>64331</v>
      </c>
      <c r="E91" s="7">
        <v>57187</v>
      </c>
      <c r="F91" s="7">
        <v>75595</v>
      </c>
      <c r="G91" s="7">
        <v>70983</v>
      </c>
      <c r="H91" s="7">
        <v>603099</v>
      </c>
      <c r="I91" s="9">
        <v>0</v>
      </c>
      <c r="J91" s="10">
        <v>31.5</v>
      </c>
      <c r="K91" s="11">
        <v>2.2999999999999998</v>
      </c>
      <c r="L91" s="12">
        <f t="shared" si="3"/>
        <v>189.97618499999999</v>
      </c>
      <c r="M91" s="12">
        <f t="shared" si="4"/>
        <v>13.871276999999999</v>
      </c>
      <c r="N91" s="9">
        <v>3.3340000000000001</v>
      </c>
      <c r="O91" s="9">
        <v>0.78149999999999997</v>
      </c>
      <c r="P91" s="15">
        <v>14.1</v>
      </c>
      <c r="Q91" s="15">
        <v>96.125</v>
      </c>
      <c r="R91">
        <v>0.126</v>
      </c>
      <c r="S91" s="17">
        <v>273512.19620800001</v>
      </c>
      <c r="T91">
        <v>94.308999999999997</v>
      </c>
      <c r="U91" s="41">
        <f t="shared" si="5"/>
        <v>56877.663590999997</v>
      </c>
    </row>
    <row r="92" spans="1:21" x14ac:dyDescent="0.2">
      <c r="A92" s="7" t="s">
        <v>225</v>
      </c>
      <c r="B92" s="7" t="s">
        <v>111</v>
      </c>
      <c r="C92" s="8">
        <v>3332947.1735185701</v>
      </c>
      <c r="D92" s="7">
        <v>16829525</v>
      </c>
      <c r="E92" s="7">
        <v>15714405</v>
      </c>
      <c r="F92" s="7">
        <v>1128960</v>
      </c>
      <c r="G92" s="7">
        <v>932817</v>
      </c>
      <c r="H92" s="7">
        <v>44158759</v>
      </c>
      <c r="I92" s="9">
        <v>0</v>
      </c>
      <c r="J92" s="10">
        <v>31.5</v>
      </c>
      <c r="K92" s="11">
        <v>2.2999999999999998</v>
      </c>
      <c r="L92" s="12">
        <f t="shared" si="3"/>
        <v>13910.009085</v>
      </c>
      <c r="M92" s="12">
        <f t="shared" si="4"/>
        <v>1015.6514569999999</v>
      </c>
      <c r="N92" s="9">
        <v>3.3340000000000001</v>
      </c>
      <c r="O92" s="9">
        <v>0.78149999999999997</v>
      </c>
      <c r="P92" s="15">
        <v>14.1</v>
      </c>
      <c r="Q92" s="15">
        <v>96.125</v>
      </c>
      <c r="R92">
        <v>0.126</v>
      </c>
      <c r="S92" s="17">
        <v>273512.19620800001</v>
      </c>
      <c r="T92">
        <v>73.465999999999994</v>
      </c>
      <c r="U92" s="41">
        <f t="shared" si="5"/>
        <v>3244167.388694</v>
      </c>
    </row>
    <row r="93" spans="1:21" x14ac:dyDescent="0.2">
      <c r="A93" s="7" t="s">
        <v>225</v>
      </c>
      <c r="B93" s="7" t="s">
        <v>112</v>
      </c>
      <c r="C93" s="8">
        <v>275026.57083311997</v>
      </c>
      <c r="D93" s="7"/>
      <c r="E93" s="7"/>
      <c r="F93" s="7">
        <v>136440</v>
      </c>
      <c r="G93" s="7">
        <v>127917</v>
      </c>
      <c r="H93" s="7">
        <v>4851008</v>
      </c>
      <c r="I93" s="9">
        <v>0</v>
      </c>
      <c r="J93" s="10">
        <v>31.5</v>
      </c>
      <c r="K93" s="11">
        <v>2.2999999999999998</v>
      </c>
      <c r="L93" s="12">
        <f t="shared" si="3"/>
        <v>1528.0675200000001</v>
      </c>
      <c r="M93" s="12">
        <f t="shared" si="4"/>
        <v>111.57318399999998</v>
      </c>
      <c r="N93" s="9">
        <v>3.3340000000000001</v>
      </c>
      <c r="O93" s="9">
        <v>0.78149999999999997</v>
      </c>
      <c r="P93" s="15">
        <v>14.1</v>
      </c>
      <c r="Q93" s="15">
        <v>96.125</v>
      </c>
      <c r="R93">
        <v>0.126</v>
      </c>
      <c r="S93" s="17">
        <v>273512.19620800001</v>
      </c>
      <c r="T93">
        <v>58.212000000000003</v>
      </c>
      <c r="U93" s="41">
        <f t="shared" si="5"/>
        <v>282386.87769600004</v>
      </c>
    </row>
    <row r="94" spans="1:21" x14ac:dyDescent="0.2">
      <c r="A94" s="13" t="s">
        <v>226</v>
      </c>
      <c r="B94" s="13" t="s">
        <v>113</v>
      </c>
      <c r="C94" s="36">
        <v>1636426.5517249301</v>
      </c>
      <c r="D94" s="13">
        <f>SUM(344838+2162995)</f>
        <v>2507833</v>
      </c>
      <c r="E94" s="13">
        <f>SUM(345688+2022106)</f>
        <v>2367794</v>
      </c>
      <c r="F94" s="13">
        <v>691331</v>
      </c>
      <c r="G94" s="13">
        <v>686206</v>
      </c>
      <c r="H94" s="7">
        <v>14279320</v>
      </c>
      <c r="I94" s="9">
        <v>0</v>
      </c>
      <c r="J94" s="10">
        <v>31.5</v>
      </c>
      <c r="K94" s="11">
        <v>2.2999999999999998</v>
      </c>
      <c r="L94" s="12">
        <f t="shared" si="3"/>
        <v>4497.9858000000004</v>
      </c>
      <c r="M94" s="12">
        <f t="shared" si="4"/>
        <v>328.42435999999998</v>
      </c>
      <c r="N94" s="9">
        <v>3.3340000000000001</v>
      </c>
      <c r="O94" s="9">
        <v>0.78149999999999997</v>
      </c>
      <c r="P94" s="15">
        <v>14.1</v>
      </c>
      <c r="Q94" s="15">
        <v>96.125</v>
      </c>
      <c r="R94">
        <v>0.126</v>
      </c>
      <c r="S94" s="17">
        <v>273512.19620800001</v>
      </c>
      <c r="T94" s="26">
        <v>86.051000000000002</v>
      </c>
      <c r="U94" s="41">
        <f t="shared" si="5"/>
        <v>1228749.76532</v>
      </c>
    </row>
    <row r="95" spans="1:21" x14ac:dyDescent="0.2">
      <c r="A95" s="7" t="s">
        <v>10</v>
      </c>
      <c r="B95" s="7" t="s">
        <v>114</v>
      </c>
      <c r="C95" s="8">
        <v>117939.49208084001</v>
      </c>
      <c r="D95" s="7">
        <v>227382</v>
      </c>
      <c r="E95" s="7">
        <v>192902</v>
      </c>
      <c r="F95" s="13"/>
      <c r="G95" s="13"/>
      <c r="H95" s="7">
        <v>571893</v>
      </c>
      <c r="I95" s="9">
        <v>0</v>
      </c>
      <c r="J95" s="10">
        <v>1498.4</v>
      </c>
      <c r="K95" s="11">
        <v>106.7</v>
      </c>
      <c r="L95" s="12">
        <f t="shared" si="3"/>
        <v>8569.2447119999997</v>
      </c>
      <c r="M95" s="12">
        <f t="shared" si="4"/>
        <v>610.20983100000001</v>
      </c>
      <c r="N95" s="9">
        <v>9.0957000000000008</v>
      </c>
      <c r="O95" s="9">
        <v>1.8032999999999999</v>
      </c>
      <c r="P95" s="15">
        <v>9.7850000000000001</v>
      </c>
      <c r="Q95" s="15">
        <v>97.875</v>
      </c>
      <c r="R95">
        <v>0.104</v>
      </c>
      <c r="S95" s="17">
        <v>139488.61766700001</v>
      </c>
      <c r="T95" s="28">
        <v>192.35599999999999</v>
      </c>
      <c r="U95" s="41">
        <f t="shared" si="5"/>
        <v>110007.04990799999</v>
      </c>
    </row>
    <row r="96" spans="1:21" x14ac:dyDescent="0.2">
      <c r="A96" s="7" t="s">
        <v>10</v>
      </c>
      <c r="B96" s="7" t="s">
        <v>115</v>
      </c>
      <c r="C96" s="8">
        <v>1066191.3363767001</v>
      </c>
      <c r="D96" s="7">
        <v>499069</v>
      </c>
      <c r="E96" s="7">
        <v>414065</v>
      </c>
      <c r="F96" s="13"/>
      <c r="G96" s="13"/>
      <c r="H96" s="7">
        <v>5670664</v>
      </c>
      <c r="I96" s="9">
        <v>0</v>
      </c>
      <c r="J96" s="10">
        <v>1498.4</v>
      </c>
      <c r="K96" s="11">
        <v>106.7</v>
      </c>
      <c r="L96" s="12">
        <f t="shared" si="3"/>
        <v>84969.229376000003</v>
      </c>
      <c r="M96" s="12">
        <f t="shared" si="4"/>
        <v>6050.5984880000005</v>
      </c>
      <c r="N96" s="9">
        <v>9.0957000000000008</v>
      </c>
      <c r="O96" s="9">
        <v>1.8032999999999999</v>
      </c>
      <c r="P96" s="15">
        <v>9.7850000000000001</v>
      </c>
      <c r="Q96" s="15">
        <v>97.875</v>
      </c>
      <c r="R96">
        <v>0.104</v>
      </c>
      <c r="S96" s="17">
        <v>139488.61766700001</v>
      </c>
      <c r="T96" s="28">
        <v>155.71600000000001</v>
      </c>
      <c r="U96" s="41">
        <f t="shared" si="5"/>
        <v>883013.11542400008</v>
      </c>
    </row>
    <row r="97" spans="1:21" x14ac:dyDescent="0.2">
      <c r="A97" s="7" t="s">
        <v>10</v>
      </c>
      <c r="B97" s="7" t="s">
        <v>116</v>
      </c>
      <c r="C97" s="8">
        <v>227991.262696711</v>
      </c>
      <c r="D97" s="7">
        <v>104635</v>
      </c>
      <c r="E97" s="7">
        <v>89536</v>
      </c>
      <c r="F97" s="7">
        <v>117804</v>
      </c>
      <c r="G97" s="7">
        <v>78785</v>
      </c>
      <c r="H97" s="7">
        <v>1259944</v>
      </c>
      <c r="I97" s="9">
        <v>0</v>
      </c>
      <c r="J97" s="10">
        <v>1498.4</v>
      </c>
      <c r="K97" s="11">
        <v>106.7</v>
      </c>
      <c r="L97" s="12">
        <f t="shared" si="3"/>
        <v>18879.000896000001</v>
      </c>
      <c r="M97" s="12">
        <f t="shared" si="4"/>
        <v>1344.3602480000002</v>
      </c>
      <c r="N97" s="9">
        <v>9.0957000000000008</v>
      </c>
      <c r="O97" s="9">
        <v>1.8032999999999999</v>
      </c>
      <c r="P97" s="15">
        <v>9.7850000000000001</v>
      </c>
      <c r="Q97" s="15">
        <v>97.875</v>
      </c>
      <c r="R97">
        <v>0.104</v>
      </c>
      <c r="S97" s="17">
        <v>139488.61766700001</v>
      </c>
      <c r="T97" s="28">
        <v>196.529</v>
      </c>
      <c r="U97" s="41">
        <f t="shared" si="5"/>
        <v>247615.534376</v>
      </c>
    </row>
    <row r="98" spans="1:21" x14ac:dyDescent="0.2">
      <c r="A98" s="7" t="s">
        <v>10</v>
      </c>
      <c r="B98" s="7" t="s">
        <v>117</v>
      </c>
      <c r="C98" s="8">
        <v>247456.775015894</v>
      </c>
      <c r="D98" s="7">
        <v>788209</v>
      </c>
      <c r="E98" s="7">
        <v>642291</v>
      </c>
      <c r="F98" s="7">
        <v>116300</v>
      </c>
      <c r="G98" s="7">
        <v>79875</v>
      </c>
      <c r="H98" s="7">
        <v>1224331</v>
      </c>
      <c r="I98" s="9">
        <v>0</v>
      </c>
      <c r="J98" s="10">
        <v>1498.4</v>
      </c>
      <c r="K98" s="11">
        <v>106.7</v>
      </c>
      <c r="L98" s="12">
        <f t="shared" si="3"/>
        <v>18345.375704000002</v>
      </c>
      <c r="M98" s="12">
        <f t="shared" si="4"/>
        <v>1306.361177</v>
      </c>
      <c r="N98" s="9">
        <v>9.0957000000000008</v>
      </c>
      <c r="O98" s="9">
        <v>1.8032999999999999</v>
      </c>
      <c r="P98" s="15">
        <v>9.7850000000000001</v>
      </c>
      <c r="Q98" s="15">
        <v>97.875</v>
      </c>
      <c r="R98">
        <v>0.104</v>
      </c>
      <c r="S98" s="17">
        <v>139488.61766700001</v>
      </c>
      <c r="T98" s="28">
        <v>207.26599999999999</v>
      </c>
      <c r="U98" s="41">
        <f t="shared" si="5"/>
        <v>253762.18904600001</v>
      </c>
    </row>
    <row r="99" spans="1:21" x14ac:dyDescent="0.2">
      <c r="A99" s="7" t="s">
        <v>10</v>
      </c>
      <c r="B99" s="7" t="s">
        <v>118</v>
      </c>
      <c r="C99" s="8">
        <v>542151.77447356901</v>
      </c>
      <c r="D99" s="7">
        <v>146603</v>
      </c>
      <c r="E99" s="7">
        <v>114229</v>
      </c>
      <c r="F99" s="13"/>
      <c r="G99" s="13"/>
      <c r="H99" s="7">
        <v>2981714</v>
      </c>
      <c r="I99" s="9">
        <v>0</v>
      </c>
      <c r="J99" s="10">
        <v>1498.4</v>
      </c>
      <c r="K99" s="11">
        <v>106.7</v>
      </c>
      <c r="L99" s="12">
        <f t="shared" si="3"/>
        <v>44678.002576000006</v>
      </c>
      <c r="M99" s="12">
        <f t="shared" si="4"/>
        <v>3181.4888380000002</v>
      </c>
      <c r="N99" s="9">
        <v>9.0957000000000008</v>
      </c>
      <c r="O99" s="9">
        <v>1.8032999999999999</v>
      </c>
      <c r="P99" s="15">
        <v>9.7850000000000001</v>
      </c>
      <c r="Q99" s="15">
        <v>97.875</v>
      </c>
      <c r="R99">
        <v>0.104</v>
      </c>
      <c r="S99" s="17">
        <v>139488.61766700001</v>
      </c>
      <c r="T99" s="28">
        <v>184.619</v>
      </c>
      <c r="U99" s="41">
        <f t="shared" si="5"/>
        <v>550481.056966</v>
      </c>
    </row>
    <row r="100" spans="1:21" x14ac:dyDescent="0.2">
      <c r="A100" s="7" t="s">
        <v>10</v>
      </c>
      <c r="B100" s="7" t="s">
        <v>119</v>
      </c>
      <c r="C100" s="8">
        <v>670922.99669466296</v>
      </c>
      <c r="D100" s="7">
        <v>100361</v>
      </c>
      <c r="E100" s="7">
        <v>83521</v>
      </c>
      <c r="F100" s="13"/>
      <c r="G100" s="13"/>
      <c r="H100" s="7">
        <v>3049825</v>
      </c>
      <c r="I100" s="9">
        <v>0</v>
      </c>
      <c r="J100" s="10">
        <v>1498.4</v>
      </c>
      <c r="K100" s="11">
        <v>106.7</v>
      </c>
      <c r="L100" s="12">
        <f t="shared" si="3"/>
        <v>45698.577799999999</v>
      </c>
      <c r="M100" s="12">
        <f t="shared" si="4"/>
        <v>3254.1632749999999</v>
      </c>
      <c r="N100" s="9">
        <v>9.0957000000000008</v>
      </c>
      <c r="O100" s="9">
        <v>1.8032999999999999</v>
      </c>
      <c r="P100" s="15">
        <v>9.7850000000000001</v>
      </c>
      <c r="Q100" s="15">
        <v>97.875</v>
      </c>
      <c r="R100">
        <v>0.104</v>
      </c>
      <c r="S100" s="17">
        <v>139488.61766700001</v>
      </c>
      <c r="T100" s="28">
        <v>195.548</v>
      </c>
      <c r="U100" s="41">
        <f t="shared" si="5"/>
        <v>596387.17910000007</v>
      </c>
    </row>
    <row r="101" spans="1:21" x14ac:dyDescent="0.2">
      <c r="A101" s="7" t="s">
        <v>10</v>
      </c>
      <c r="B101" s="7" t="s">
        <v>120</v>
      </c>
      <c r="C101" s="8">
        <v>792210.23886908102</v>
      </c>
      <c r="D101" s="7">
        <v>50457</v>
      </c>
      <c r="E101" s="7">
        <v>32350</v>
      </c>
      <c r="F101" s="13"/>
      <c r="G101" s="13"/>
      <c r="H101" s="7">
        <v>5687240</v>
      </c>
      <c r="I101" s="9">
        <v>0</v>
      </c>
      <c r="J101" s="10">
        <v>1498.4</v>
      </c>
      <c r="K101" s="11">
        <v>106.7</v>
      </c>
      <c r="L101" s="12">
        <f t="shared" si="3"/>
        <v>85217.604160000003</v>
      </c>
      <c r="M101" s="12">
        <f t="shared" si="4"/>
        <v>6068.2850799999997</v>
      </c>
      <c r="N101" s="9">
        <v>9.0957000000000008</v>
      </c>
      <c r="O101" s="9">
        <v>1.8032999999999999</v>
      </c>
      <c r="P101" s="15">
        <v>9.7850000000000001</v>
      </c>
      <c r="Q101" s="15">
        <v>97.875</v>
      </c>
      <c r="R101">
        <v>0.104</v>
      </c>
      <c r="S101" s="17">
        <v>139488.61766700001</v>
      </c>
      <c r="T101" s="28">
        <v>139.125</v>
      </c>
      <c r="U101" s="41">
        <f t="shared" si="5"/>
        <v>791237.26500000001</v>
      </c>
    </row>
    <row r="102" spans="1:21" x14ac:dyDescent="0.2">
      <c r="A102" s="7" t="s">
        <v>10</v>
      </c>
      <c r="B102" s="7" t="s">
        <v>121</v>
      </c>
      <c r="C102" s="8">
        <v>168075.04924935399</v>
      </c>
      <c r="D102" s="7">
        <v>65335</v>
      </c>
      <c r="E102" s="7">
        <v>51067</v>
      </c>
      <c r="F102" s="13"/>
      <c r="G102" s="13"/>
      <c r="H102" s="7">
        <v>686912</v>
      </c>
      <c r="I102" s="9">
        <v>0</v>
      </c>
      <c r="J102" s="10">
        <v>1498.4</v>
      </c>
      <c r="K102" s="11">
        <v>106.7</v>
      </c>
      <c r="L102" s="12">
        <f t="shared" si="3"/>
        <v>10292.689408</v>
      </c>
      <c r="M102" s="12">
        <f t="shared" si="4"/>
        <v>732.93510400000002</v>
      </c>
      <c r="N102" s="9">
        <v>9.0957000000000008</v>
      </c>
      <c r="O102" s="9">
        <v>1.8032999999999999</v>
      </c>
      <c r="P102" s="15">
        <v>9.7850000000000001</v>
      </c>
      <c r="Q102" s="15">
        <v>97.875</v>
      </c>
      <c r="R102">
        <v>0.104</v>
      </c>
      <c r="S102" s="17">
        <v>139488.61766700001</v>
      </c>
      <c r="T102" s="28">
        <v>250.70500000000001</v>
      </c>
      <c r="U102" s="41">
        <f t="shared" si="5"/>
        <v>172212.27296</v>
      </c>
    </row>
    <row r="103" spans="1:21" x14ac:dyDescent="0.2">
      <c r="A103" s="7" t="s">
        <v>10</v>
      </c>
      <c r="B103" s="7" t="s">
        <v>122</v>
      </c>
      <c r="C103" s="8">
        <v>471787.266456738</v>
      </c>
      <c r="D103" s="7">
        <v>562867</v>
      </c>
      <c r="E103" s="7">
        <v>470880</v>
      </c>
      <c r="F103" s="13"/>
      <c r="G103" s="13"/>
      <c r="H103" s="7">
        <v>2409020</v>
      </c>
      <c r="I103" s="9">
        <v>0</v>
      </c>
      <c r="J103" s="10">
        <v>1498.4</v>
      </c>
      <c r="K103" s="11">
        <v>106.7</v>
      </c>
      <c r="L103" s="12">
        <f t="shared" si="3"/>
        <v>36096.755680000002</v>
      </c>
      <c r="M103" s="12">
        <f t="shared" si="4"/>
        <v>2570.42434</v>
      </c>
      <c r="N103" s="9">
        <v>9.0957000000000008</v>
      </c>
      <c r="O103" s="9">
        <v>1.8032999999999999</v>
      </c>
      <c r="P103" s="15">
        <v>9.7850000000000001</v>
      </c>
      <c r="Q103" s="15">
        <v>97.875</v>
      </c>
      <c r="R103">
        <v>0.104</v>
      </c>
      <c r="S103" s="17">
        <v>139488.61766700001</v>
      </c>
      <c r="T103" s="28">
        <v>220.44</v>
      </c>
      <c r="U103" s="41">
        <f t="shared" si="5"/>
        <v>531044.36880000005</v>
      </c>
    </row>
    <row r="104" spans="1:21" x14ac:dyDescent="0.2">
      <c r="A104" s="7" t="s">
        <v>10</v>
      </c>
      <c r="B104" s="7" t="s">
        <v>123</v>
      </c>
      <c r="C104" s="8">
        <v>183374.713327732</v>
      </c>
      <c r="D104" s="7">
        <v>85699</v>
      </c>
      <c r="E104" s="7">
        <v>71757</v>
      </c>
      <c r="F104" s="13"/>
      <c r="G104" s="13"/>
      <c r="H104" s="7">
        <v>779963</v>
      </c>
      <c r="I104" s="9">
        <v>0</v>
      </c>
      <c r="J104" s="10">
        <v>1498.4</v>
      </c>
      <c r="K104" s="11">
        <v>106.7</v>
      </c>
      <c r="L104" s="12">
        <f t="shared" si="3"/>
        <v>11686.965592</v>
      </c>
      <c r="M104" s="12">
        <f t="shared" si="4"/>
        <v>832.22052100000008</v>
      </c>
      <c r="N104" s="9">
        <v>9.0957000000000008</v>
      </c>
      <c r="O104" s="9">
        <v>1.8032999999999999</v>
      </c>
      <c r="P104" s="15">
        <v>9.7850000000000001</v>
      </c>
      <c r="Q104" s="15">
        <v>97.875</v>
      </c>
      <c r="R104">
        <v>0.104</v>
      </c>
      <c r="S104" s="17">
        <v>139488.61766700001</v>
      </c>
      <c r="T104" s="28">
        <v>227.46299999999999</v>
      </c>
      <c r="U104" s="41">
        <f t="shared" si="5"/>
        <v>177412.72386899998</v>
      </c>
    </row>
    <row r="105" spans="1:21" x14ac:dyDescent="0.2">
      <c r="A105" s="7" t="s">
        <v>10</v>
      </c>
      <c r="B105" s="7" t="s">
        <v>124</v>
      </c>
      <c r="C105" s="8">
        <v>150825.224374718</v>
      </c>
      <c r="D105" s="7">
        <v>291781</v>
      </c>
      <c r="E105" s="7">
        <v>247542</v>
      </c>
      <c r="F105" s="13"/>
      <c r="G105" s="13"/>
      <c r="H105" s="7">
        <v>680991</v>
      </c>
      <c r="I105" s="9">
        <v>0</v>
      </c>
      <c r="J105" s="10">
        <v>1498.4</v>
      </c>
      <c r="K105" s="11">
        <v>106.7</v>
      </c>
      <c r="L105" s="12">
        <f t="shared" si="3"/>
        <v>10203.969144000001</v>
      </c>
      <c r="M105" s="12">
        <f t="shared" si="4"/>
        <v>726.61739699999998</v>
      </c>
      <c r="N105" s="9">
        <v>9.0957000000000008</v>
      </c>
      <c r="O105" s="9">
        <v>1.8032999999999999</v>
      </c>
      <c r="P105" s="15">
        <v>9.7850000000000001</v>
      </c>
      <c r="Q105" s="15">
        <v>97.875</v>
      </c>
      <c r="R105">
        <v>0.104</v>
      </c>
      <c r="S105" s="17">
        <v>139488.61766700001</v>
      </c>
      <c r="T105" s="28">
        <v>219.89500000000001</v>
      </c>
      <c r="U105" s="41">
        <f t="shared" si="5"/>
        <v>149746.51594499999</v>
      </c>
    </row>
    <row r="106" spans="1:21" x14ac:dyDescent="0.2">
      <c r="A106" s="7" t="s">
        <v>10</v>
      </c>
      <c r="B106" s="7" t="s">
        <v>125</v>
      </c>
      <c r="C106" s="8">
        <v>353667.19579888001</v>
      </c>
      <c r="D106" s="7">
        <v>216284</v>
      </c>
      <c r="E106" s="7">
        <v>169725</v>
      </c>
      <c r="F106" s="13"/>
      <c r="G106" s="13"/>
      <c r="H106" s="7">
        <v>1356451</v>
      </c>
      <c r="I106" s="9">
        <v>0</v>
      </c>
      <c r="J106" s="10">
        <v>1498.4</v>
      </c>
      <c r="K106" s="11">
        <v>106.7</v>
      </c>
      <c r="L106" s="12">
        <f t="shared" si="3"/>
        <v>20325.061784000001</v>
      </c>
      <c r="M106" s="12">
        <f t="shared" si="4"/>
        <v>1447.3332170000001</v>
      </c>
      <c r="N106" s="9">
        <v>9.0957000000000008</v>
      </c>
      <c r="O106" s="9">
        <v>1.8032999999999999</v>
      </c>
      <c r="P106" s="15">
        <v>9.7850000000000001</v>
      </c>
      <c r="Q106" s="15">
        <v>97.875</v>
      </c>
      <c r="R106">
        <v>0.104</v>
      </c>
      <c r="S106" s="17">
        <v>139488.61766700001</v>
      </c>
      <c r="T106" s="28">
        <v>292.73700000000002</v>
      </c>
      <c r="U106" s="41">
        <f t="shared" si="5"/>
        <v>397083.39638700004</v>
      </c>
    </row>
    <row r="107" spans="1:21" x14ac:dyDescent="0.2">
      <c r="A107" s="7" t="s">
        <v>10</v>
      </c>
      <c r="B107" s="7" t="s">
        <v>126</v>
      </c>
      <c r="C107" s="8">
        <v>260124.80599909899</v>
      </c>
      <c r="D107" s="7">
        <v>566603</v>
      </c>
      <c r="E107" s="7">
        <v>480601</v>
      </c>
      <c r="F107" s="13"/>
      <c r="G107" s="13"/>
      <c r="H107" s="7">
        <v>939759</v>
      </c>
      <c r="I107" s="9">
        <v>0</v>
      </c>
      <c r="J107" s="10">
        <v>1498.4</v>
      </c>
      <c r="K107" s="11">
        <v>106.7</v>
      </c>
      <c r="L107" s="12">
        <f t="shared" si="3"/>
        <v>14081.348856000001</v>
      </c>
      <c r="M107" s="12">
        <f t="shared" si="4"/>
        <v>1002.722853</v>
      </c>
      <c r="N107" s="9">
        <v>9.0957000000000008</v>
      </c>
      <c r="O107" s="9">
        <v>1.8032999999999999</v>
      </c>
      <c r="P107" s="15">
        <v>9.7850000000000001</v>
      </c>
      <c r="Q107" s="15">
        <v>97.875</v>
      </c>
      <c r="R107">
        <v>0.104</v>
      </c>
      <c r="S107" s="17">
        <v>139488.61766700001</v>
      </c>
      <c r="T107" s="28">
        <v>297.75900000000001</v>
      </c>
      <c r="U107" s="41">
        <f t="shared" si="5"/>
        <v>279821.70008100005</v>
      </c>
    </row>
    <row r="108" spans="1:21" x14ac:dyDescent="0.2">
      <c r="A108" s="7" t="s">
        <v>10</v>
      </c>
      <c r="B108" s="7" t="s">
        <v>127</v>
      </c>
      <c r="C108" s="8">
        <v>500098.10360233299</v>
      </c>
      <c r="D108" s="7">
        <v>664796</v>
      </c>
      <c r="E108" s="7">
        <v>557472</v>
      </c>
      <c r="F108" s="7">
        <v>116003</v>
      </c>
      <c r="G108" s="7">
        <v>93675</v>
      </c>
      <c r="H108" s="7">
        <v>2151279</v>
      </c>
      <c r="I108" s="9">
        <v>0</v>
      </c>
      <c r="J108" s="10">
        <v>1498.4</v>
      </c>
      <c r="K108" s="11">
        <v>106.7</v>
      </c>
      <c r="L108" s="12">
        <f t="shared" si="3"/>
        <v>32234.764536000002</v>
      </c>
      <c r="M108" s="12">
        <f t="shared" si="4"/>
        <v>2295.4146930000002</v>
      </c>
      <c r="N108" s="9">
        <v>9.0957000000000008</v>
      </c>
      <c r="O108" s="9">
        <v>1.8032999999999999</v>
      </c>
      <c r="P108" s="15">
        <v>9.7850000000000001</v>
      </c>
      <c r="Q108" s="15">
        <v>97.875</v>
      </c>
      <c r="R108">
        <v>0.104</v>
      </c>
      <c r="S108" s="17">
        <v>139488.61766700001</v>
      </c>
      <c r="T108" s="28">
        <v>221.41200000000001</v>
      </c>
      <c r="U108" s="41">
        <f t="shared" si="5"/>
        <v>476318.98594799999</v>
      </c>
    </row>
    <row r="109" spans="1:21" x14ac:dyDescent="0.2">
      <c r="A109" s="7" t="s">
        <v>10</v>
      </c>
      <c r="B109" s="7" t="s">
        <v>128</v>
      </c>
      <c r="C109" s="8">
        <v>172008.25585400499</v>
      </c>
      <c r="D109" s="7">
        <v>803403</v>
      </c>
      <c r="E109" s="7">
        <v>65588</v>
      </c>
      <c r="F109" s="13"/>
      <c r="G109" s="13"/>
      <c r="H109" s="7">
        <v>918309</v>
      </c>
      <c r="I109" s="9">
        <v>0</v>
      </c>
      <c r="J109" s="10">
        <v>1498.4</v>
      </c>
      <c r="K109" s="11">
        <v>106.7</v>
      </c>
      <c r="L109" s="12">
        <f t="shared" si="3"/>
        <v>13759.942056000002</v>
      </c>
      <c r="M109" s="12">
        <f t="shared" si="4"/>
        <v>979.83570299999997</v>
      </c>
      <c r="N109" s="9">
        <v>9.0957000000000008</v>
      </c>
      <c r="O109" s="9">
        <v>1.8032999999999999</v>
      </c>
      <c r="P109" s="15">
        <v>9.7850000000000001</v>
      </c>
      <c r="Q109" s="15">
        <v>97.875</v>
      </c>
      <c r="R109">
        <v>0.104</v>
      </c>
      <c r="S109" s="17">
        <v>139488.61766700001</v>
      </c>
      <c r="T109" s="28">
        <v>206.68899999999999</v>
      </c>
      <c r="U109" s="41">
        <f t="shared" si="5"/>
        <v>189804.36890099998</v>
      </c>
    </row>
    <row r="110" spans="1:21" x14ac:dyDescent="0.2">
      <c r="A110" s="7" t="s">
        <v>11</v>
      </c>
      <c r="B110" s="7" t="s">
        <v>129</v>
      </c>
      <c r="C110" s="8">
        <v>332965.538881758</v>
      </c>
      <c r="D110" s="7">
        <v>704369</v>
      </c>
      <c r="E110" s="7">
        <v>509160</v>
      </c>
      <c r="F110" s="7">
        <v>142194</v>
      </c>
      <c r="G110" s="7">
        <v>121296</v>
      </c>
      <c r="H110" s="7">
        <v>1312862</v>
      </c>
      <c r="I110" s="9">
        <v>0</v>
      </c>
      <c r="J110" s="10">
        <v>800.3</v>
      </c>
      <c r="K110" s="11">
        <v>115.6</v>
      </c>
      <c r="L110" s="12">
        <f t="shared" si="3"/>
        <v>10506.834585999999</v>
      </c>
      <c r="M110" s="12">
        <f t="shared" si="4"/>
        <v>1517.6684719999998</v>
      </c>
      <c r="N110" s="9">
        <v>4.6191000000000004</v>
      </c>
      <c r="O110" s="9">
        <v>1.0808</v>
      </c>
      <c r="P110" s="15">
        <v>9.75</v>
      </c>
      <c r="Q110" s="15">
        <v>102.02500000000001</v>
      </c>
      <c r="R110">
        <v>0.25600000000000001</v>
      </c>
      <c r="S110" s="17">
        <v>304926.87689299998</v>
      </c>
      <c r="T110" s="26">
        <v>250.3</v>
      </c>
      <c r="U110" s="41">
        <f t="shared" si="5"/>
        <v>328609.35860000004</v>
      </c>
    </row>
    <row r="111" spans="1:21" x14ac:dyDescent="0.2">
      <c r="A111" s="7" t="s">
        <v>11</v>
      </c>
      <c r="B111" s="7" t="s">
        <v>130</v>
      </c>
      <c r="C111" s="8">
        <v>361857.79684463498</v>
      </c>
      <c r="D111" s="7">
        <v>413341</v>
      </c>
      <c r="E111" s="7">
        <v>364986</v>
      </c>
      <c r="F111" s="7">
        <v>616853</v>
      </c>
      <c r="G111" s="7">
        <v>501858</v>
      </c>
      <c r="H111" s="7">
        <v>1253278</v>
      </c>
      <c r="I111" s="9">
        <v>0</v>
      </c>
      <c r="J111" s="10">
        <v>800.3</v>
      </c>
      <c r="K111" s="11">
        <v>115.6</v>
      </c>
      <c r="L111" s="12">
        <f t="shared" si="3"/>
        <v>10029.983834000001</v>
      </c>
      <c r="M111" s="12">
        <f t="shared" si="4"/>
        <v>1448.7893679999997</v>
      </c>
      <c r="N111" s="9">
        <v>4.6191000000000004</v>
      </c>
      <c r="O111" s="9">
        <v>1.0808</v>
      </c>
      <c r="P111" s="15">
        <v>9.75</v>
      </c>
      <c r="Q111" s="15">
        <v>102.02500000000001</v>
      </c>
      <c r="R111">
        <v>0.25600000000000001</v>
      </c>
      <c r="S111" s="17">
        <v>304926.87689299998</v>
      </c>
      <c r="T111">
        <v>284.16699999999997</v>
      </c>
      <c r="U111" s="41">
        <f t="shared" si="5"/>
        <v>356140.24942599994</v>
      </c>
    </row>
    <row r="112" spans="1:21" x14ac:dyDescent="0.2">
      <c r="A112" s="7" t="s">
        <v>11</v>
      </c>
      <c r="B112" s="7" t="s">
        <v>131</v>
      </c>
      <c r="C112" s="8">
        <v>773644.87857971201</v>
      </c>
      <c r="D112" s="7">
        <v>2147029</v>
      </c>
      <c r="E112" s="7">
        <v>1884485</v>
      </c>
      <c r="F112" s="13"/>
      <c r="G112" s="13"/>
      <c r="H112" s="7">
        <v>2611956</v>
      </c>
      <c r="I112" s="9">
        <v>0</v>
      </c>
      <c r="J112" s="10">
        <v>800.3</v>
      </c>
      <c r="K112" s="11">
        <v>115.6</v>
      </c>
      <c r="L112" s="12">
        <f t="shared" si="3"/>
        <v>20903.483867999999</v>
      </c>
      <c r="M112" s="12">
        <f t="shared" si="4"/>
        <v>3019.4211359999995</v>
      </c>
      <c r="N112" s="9">
        <v>4.6191000000000004</v>
      </c>
      <c r="O112" s="9">
        <v>1.0808</v>
      </c>
      <c r="P112" s="15">
        <v>9.75</v>
      </c>
      <c r="Q112" s="15">
        <v>102.02500000000001</v>
      </c>
      <c r="R112">
        <v>0.25600000000000001</v>
      </c>
      <c r="S112" s="17">
        <v>304926.87689299998</v>
      </c>
      <c r="T112">
        <v>261.12799999999999</v>
      </c>
      <c r="U112" s="41">
        <f t="shared" si="5"/>
        <v>682054.84636799991</v>
      </c>
    </row>
    <row r="113" spans="1:21" x14ac:dyDescent="0.2">
      <c r="A113" s="7" t="s">
        <v>11</v>
      </c>
      <c r="B113" s="7" t="s">
        <v>132</v>
      </c>
      <c r="C113" s="8">
        <v>623526.13118755596</v>
      </c>
      <c r="D113" s="7">
        <v>1813110</v>
      </c>
      <c r="E113" s="7">
        <v>1266072</v>
      </c>
      <c r="F113" s="13"/>
      <c r="G113" s="13"/>
      <c r="H113" s="7">
        <v>2205730</v>
      </c>
      <c r="I113" s="9">
        <v>0</v>
      </c>
      <c r="J113" s="10">
        <v>800.3</v>
      </c>
      <c r="K113" s="11">
        <v>115.6</v>
      </c>
      <c r="L113" s="12">
        <f t="shared" si="3"/>
        <v>17652.457190000001</v>
      </c>
      <c r="M113" s="12">
        <f t="shared" si="4"/>
        <v>2549.8238799999999</v>
      </c>
      <c r="N113" s="9">
        <v>4.6191000000000004</v>
      </c>
      <c r="O113" s="9">
        <v>1.0808</v>
      </c>
      <c r="P113" s="15">
        <v>9.75</v>
      </c>
      <c r="Q113" s="15">
        <v>102.02500000000001</v>
      </c>
      <c r="R113">
        <v>0.25600000000000001</v>
      </c>
      <c r="S113" s="17">
        <v>304926.87689299998</v>
      </c>
      <c r="T113">
        <v>252.23599999999999</v>
      </c>
      <c r="U113" s="41">
        <f t="shared" si="5"/>
        <v>556364.51228000002</v>
      </c>
    </row>
    <row r="114" spans="1:21" x14ac:dyDescent="0.2">
      <c r="A114" s="7" t="s">
        <v>11</v>
      </c>
      <c r="B114" s="7" t="s">
        <v>133</v>
      </c>
      <c r="C114" s="8">
        <v>289483.25805881602</v>
      </c>
      <c r="D114" s="7">
        <v>1086395</v>
      </c>
      <c r="E114" s="7">
        <v>858725</v>
      </c>
      <c r="F114" s="13"/>
      <c r="G114" s="13"/>
      <c r="H114" s="7">
        <v>1321648</v>
      </c>
      <c r="I114" s="9">
        <v>0</v>
      </c>
      <c r="J114" s="10">
        <v>800.3</v>
      </c>
      <c r="K114" s="11">
        <v>115.6</v>
      </c>
      <c r="L114" s="12">
        <f t="shared" si="3"/>
        <v>10577.148944</v>
      </c>
      <c r="M114" s="12">
        <f t="shared" si="4"/>
        <v>1527.8250879999998</v>
      </c>
      <c r="N114" s="9">
        <v>4.6191000000000004</v>
      </c>
      <c r="O114" s="9">
        <v>1.0808</v>
      </c>
      <c r="P114" s="15">
        <v>9.75</v>
      </c>
      <c r="Q114" s="15">
        <v>102.02500000000001</v>
      </c>
      <c r="R114">
        <v>0.25600000000000001</v>
      </c>
      <c r="S114" s="17">
        <v>304926.87689299998</v>
      </c>
      <c r="T114">
        <v>227.24199999999999</v>
      </c>
      <c r="U114" s="41">
        <f t="shared" si="5"/>
        <v>300333.93481599999</v>
      </c>
    </row>
    <row r="115" spans="1:21" x14ac:dyDescent="0.2">
      <c r="A115" s="7" t="s">
        <v>11</v>
      </c>
      <c r="B115" s="7" t="s">
        <v>134</v>
      </c>
      <c r="C115" s="8">
        <v>229915.462547309</v>
      </c>
      <c r="D115" s="7">
        <v>349048</v>
      </c>
      <c r="E115" s="7">
        <v>278931</v>
      </c>
      <c r="F115" s="13"/>
      <c r="G115" s="13"/>
      <c r="H115" s="7">
        <v>972783</v>
      </c>
      <c r="I115" s="9">
        <v>0</v>
      </c>
      <c r="J115" s="10">
        <v>800.3</v>
      </c>
      <c r="K115" s="11">
        <v>115.6</v>
      </c>
      <c r="L115" s="12">
        <f t="shared" si="3"/>
        <v>7785.1823489999997</v>
      </c>
      <c r="M115" s="12">
        <f t="shared" si="4"/>
        <v>1124.5371479999999</v>
      </c>
      <c r="N115" s="9">
        <v>4.6191000000000004</v>
      </c>
      <c r="O115" s="9">
        <v>1.0808</v>
      </c>
      <c r="P115" s="15">
        <v>9.75</v>
      </c>
      <c r="Q115" s="15">
        <v>102.02500000000001</v>
      </c>
      <c r="R115">
        <v>0.25600000000000001</v>
      </c>
      <c r="S115" s="17">
        <v>304926.87689299998</v>
      </c>
      <c r="T115">
        <v>248.82900000000001</v>
      </c>
      <c r="U115" s="41">
        <f t="shared" si="5"/>
        <v>242056.62110699998</v>
      </c>
    </row>
    <row r="116" spans="1:21" x14ac:dyDescent="0.2">
      <c r="A116" s="7" t="s">
        <v>11</v>
      </c>
      <c r="B116" s="7" t="s">
        <v>135</v>
      </c>
      <c r="C116" s="8">
        <v>659520.88527317101</v>
      </c>
      <c r="D116" s="7">
        <v>1726830</v>
      </c>
      <c r="E116" s="7">
        <v>1442028</v>
      </c>
      <c r="F116" s="13"/>
      <c r="G116" s="13"/>
      <c r="H116" s="7">
        <v>2100766</v>
      </c>
      <c r="I116" s="9">
        <v>0</v>
      </c>
      <c r="J116" s="10">
        <v>800.3</v>
      </c>
      <c r="K116" s="11">
        <v>115.6</v>
      </c>
      <c r="L116" s="12">
        <f t="shared" si="3"/>
        <v>16812.430297999999</v>
      </c>
      <c r="M116" s="12">
        <f t="shared" si="4"/>
        <v>2428.4854959999998</v>
      </c>
      <c r="N116" s="9">
        <v>4.6191000000000004</v>
      </c>
      <c r="O116" s="9">
        <v>1.0808</v>
      </c>
      <c r="P116" s="15">
        <v>9.75</v>
      </c>
      <c r="Q116" s="15">
        <v>102.02500000000001</v>
      </c>
      <c r="R116">
        <v>0.25600000000000001</v>
      </c>
      <c r="S116" s="17">
        <v>304926.87689299998</v>
      </c>
      <c r="T116">
        <v>324.80799999999999</v>
      </c>
      <c r="U116" s="41">
        <f t="shared" si="5"/>
        <v>682345.60292799992</v>
      </c>
    </row>
    <row r="117" spans="1:21" x14ac:dyDescent="0.2">
      <c r="A117" s="7" t="s">
        <v>12</v>
      </c>
      <c r="B117" s="7" t="s">
        <v>136</v>
      </c>
      <c r="C117" s="8">
        <v>35083.903408262799</v>
      </c>
      <c r="D117" s="7">
        <v>231755</v>
      </c>
      <c r="E117" s="7">
        <v>219911</v>
      </c>
      <c r="F117" s="13"/>
      <c r="G117" s="13"/>
      <c r="H117" s="7">
        <v>331424</v>
      </c>
      <c r="I117" s="9">
        <v>0</v>
      </c>
      <c r="J117" s="10">
        <v>498.6</v>
      </c>
      <c r="K117" s="11">
        <v>231.5</v>
      </c>
      <c r="L117" s="12">
        <f t="shared" si="3"/>
        <v>1652.4800640000001</v>
      </c>
      <c r="M117" s="12">
        <f t="shared" si="4"/>
        <v>767.24656000000004</v>
      </c>
      <c r="N117" s="9">
        <v>5.9847999999999999</v>
      </c>
      <c r="O117" s="9">
        <v>1.3306</v>
      </c>
      <c r="P117" s="15">
        <v>9.75</v>
      </c>
      <c r="Q117" s="15">
        <v>102.02500000000001</v>
      </c>
      <c r="R117">
        <v>0.34</v>
      </c>
      <c r="S117" s="17">
        <v>405974.33500000002</v>
      </c>
      <c r="T117">
        <v>122.858</v>
      </c>
      <c r="U117" s="41">
        <f t="shared" si="5"/>
        <v>40718.089792000006</v>
      </c>
    </row>
    <row r="118" spans="1:21" x14ac:dyDescent="0.2">
      <c r="A118" s="7" t="s">
        <v>12</v>
      </c>
      <c r="B118" s="7" t="s">
        <v>137</v>
      </c>
      <c r="C118" s="8">
        <v>4700.4601084247697</v>
      </c>
      <c r="D118" s="7"/>
      <c r="E118" s="13"/>
      <c r="F118" s="7">
        <v>22776</v>
      </c>
      <c r="G118" s="7">
        <v>21131</v>
      </c>
      <c r="H118" s="7">
        <v>26585</v>
      </c>
      <c r="I118" s="9">
        <v>0</v>
      </c>
      <c r="J118" s="10">
        <v>498.6</v>
      </c>
      <c r="K118" s="11">
        <v>231.5</v>
      </c>
      <c r="L118" s="12">
        <f t="shared" si="3"/>
        <v>132.55280999999999</v>
      </c>
      <c r="M118" s="12">
        <f t="shared" si="4"/>
        <v>61.544274999999999</v>
      </c>
      <c r="N118" s="9">
        <v>5.9847999999999999</v>
      </c>
      <c r="O118" s="9">
        <v>1.3306</v>
      </c>
      <c r="P118" s="15">
        <v>9.75</v>
      </c>
      <c r="Q118" s="15">
        <v>102.02500000000001</v>
      </c>
      <c r="R118">
        <v>0.34</v>
      </c>
      <c r="S118" s="17">
        <v>405974.33500000002</v>
      </c>
      <c r="T118">
        <v>109.70099999999999</v>
      </c>
      <c r="U118" s="41">
        <f t="shared" si="5"/>
        <v>2916.401085</v>
      </c>
    </row>
    <row r="119" spans="1:21" x14ac:dyDescent="0.2">
      <c r="A119" s="7" t="s">
        <v>12</v>
      </c>
      <c r="B119" s="7" t="s">
        <v>138</v>
      </c>
      <c r="C119" s="8">
        <v>19759.5968692389</v>
      </c>
      <c r="D119" s="7"/>
      <c r="E119" s="13"/>
      <c r="F119" s="7">
        <v>209878</v>
      </c>
      <c r="G119" s="7">
        <v>180750</v>
      </c>
      <c r="H119" s="7">
        <v>244958</v>
      </c>
      <c r="I119" s="9">
        <v>0</v>
      </c>
      <c r="J119" s="10">
        <v>498.6</v>
      </c>
      <c r="K119" s="11">
        <v>231.5</v>
      </c>
      <c r="L119" s="12">
        <f t="shared" si="3"/>
        <v>1221.360588</v>
      </c>
      <c r="M119" s="12">
        <f t="shared" si="4"/>
        <v>567.07776999999999</v>
      </c>
      <c r="N119" s="9">
        <v>5.9847999999999999</v>
      </c>
      <c r="O119" s="9">
        <v>1.3306</v>
      </c>
      <c r="P119" s="15">
        <v>9.75</v>
      </c>
      <c r="Q119" s="15">
        <v>102.02500000000001</v>
      </c>
      <c r="R119">
        <v>0.34</v>
      </c>
      <c r="S119" s="17">
        <v>405974.33500000002</v>
      </c>
      <c r="T119">
        <v>77.531000000000006</v>
      </c>
      <c r="U119" s="41">
        <f t="shared" si="5"/>
        <v>18991.838698000003</v>
      </c>
    </row>
    <row r="120" spans="1:21" x14ac:dyDescent="0.2">
      <c r="A120" s="7" t="s">
        <v>12</v>
      </c>
      <c r="B120" s="7" t="s">
        <v>139</v>
      </c>
      <c r="C120" s="8">
        <v>40751.079258514997</v>
      </c>
      <c r="D120" s="7">
        <v>209778</v>
      </c>
      <c r="E120" s="7">
        <v>223705</v>
      </c>
      <c r="F120" s="13"/>
      <c r="G120" s="13"/>
      <c r="H120" s="7">
        <v>315148</v>
      </c>
      <c r="I120" s="9">
        <v>0</v>
      </c>
      <c r="J120" s="10">
        <v>498.6</v>
      </c>
      <c r="K120" s="11">
        <v>231.5</v>
      </c>
      <c r="L120" s="12">
        <f t="shared" si="3"/>
        <v>1571.3279280000002</v>
      </c>
      <c r="M120" s="12">
        <f t="shared" si="4"/>
        <v>729.56762000000003</v>
      </c>
      <c r="N120" s="9">
        <v>5.9847999999999999</v>
      </c>
      <c r="O120" s="9">
        <v>1.3306</v>
      </c>
      <c r="P120" s="15">
        <v>9.75</v>
      </c>
      <c r="Q120" s="15">
        <v>102.02500000000001</v>
      </c>
      <c r="R120">
        <v>0.34</v>
      </c>
      <c r="S120" s="17">
        <v>405974.33500000002</v>
      </c>
      <c r="T120">
        <v>127.271</v>
      </c>
      <c r="U120" s="41">
        <f t="shared" si="5"/>
        <v>40109.201108000001</v>
      </c>
    </row>
    <row r="121" spans="1:21" x14ac:dyDescent="0.2">
      <c r="A121" s="7" t="s">
        <v>12</v>
      </c>
      <c r="B121" s="7" t="s">
        <v>140</v>
      </c>
      <c r="C121" s="8">
        <v>33143.865603168699</v>
      </c>
      <c r="D121" s="7"/>
      <c r="E121" s="13"/>
      <c r="F121" s="7">
        <v>227463</v>
      </c>
      <c r="G121" s="7">
        <v>174563</v>
      </c>
      <c r="H121" s="7">
        <v>265479</v>
      </c>
      <c r="I121" s="9">
        <v>0</v>
      </c>
      <c r="J121" s="10">
        <v>498.6</v>
      </c>
      <c r="K121" s="11">
        <v>231.5</v>
      </c>
      <c r="L121" s="12">
        <f t="shared" si="3"/>
        <v>1323.6782940000001</v>
      </c>
      <c r="M121" s="12">
        <f t="shared" si="4"/>
        <v>614.58388500000001</v>
      </c>
      <c r="N121" s="9">
        <v>5.9847999999999999</v>
      </c>
      <c r="O121" s="9">
        <v>1.3306</v>
      </c>
      <c r="P121" s="15">
        <v>9.75</v>
      </c>
      <c r="Q121" s="15">
        <v>102.02500000000001</v>
      </c>
      <c r="R121">
        <v>0.34</v>
      </c>
      <c r="S121" s="17">
        <v>405974.33500000002</v>
      </c>
      <c r="T121">
        <v>103.989</v>
      </c>
      <c r="U121" s="41">
        <f t="shared" si="5"/>
        <v>27606.895731000004</v>
      </c>
    </row>
    <row r="122" spans="1:21" x14ac:dyDescent="0.2">
      <c r="A122" s="7" t="s">
        <v>12</v>
      </c>
      <c r="B122" s="7" t="s">
        <v>141</v>
      </c>
      <c r="C122" s="8">
        <v>10970.2909407147</v>
      </c>
      <c r="D122" s="7"/>
      <c r="E122" s="13"/>
      <c r="F122" s="7">
        <v>76277</v>
      </c>
      <c r="G122" s="7">
        <v>42210</v>
      </c>
      <c r="H122" s="7">
        <v>89027</v>
      </c>
      <c r="I122" s="9">
        <v>0</v>
      </c>
      <c r="J122" s="10">
        <v>498.6</v>
      </c>
      <c r="K122" s="11">
        <v>231.5</v>
      </c>
      <c r="L122" s="12">
        <f t="shared" si="3"/>
        <v>443.88862200000005</v>
      </c>
      <c r="M122" s="12">
        <f t="shared" si="4"/>
        <v>206.09750500000001</v>
      </c>
      <c r="N122" s="9">
        <v>5.9847999999999999</v>
      </c>
      <c r="O122" s="9">
        <v>1.3306</v>
      </c>
      <c r="P122" s="15">
        <v>9.75</v>
      </c>
      <c r="Q122" s="15">
        <v>102.02500000000001</v>
      </c>
      <c r="R122">
        <v>0.34</v>
      </c>
      <c r="S122" s="17">
        <v>405974.33500000002</v>
      </c>
      <c r="T122">
        <v>120.592</v>
      </c>
      <c r="U122" s="41">
        <f t="shared" si="5"/>
        <v>10735.943984</v>
      </c>
    </row>
    <row r="123" spans="1:21" x14ac:dyDescent="0.2">
      <c r="A123" s="7" t="s">
        <v>13</v>
      </c>
      <c r="B123" s="7" t="s">
        <v>142</v>
      </c>
      <c r="C123" s="8">
        <v>36799.478750629401</v>
      </c>
      <c r="D123" s="3">
        <v>76638</v>
      </c>
      <c r="E123" s="3">
        <v>75679</v>
      </c>
      <c r="F123" s="2"/>
      <c r="G123" s="2"/>
      <c r="H123" s="7">
        <v>115157</v>
      </c>
      <c r="I123" s="9">
        <v>0</v>
      </c>
      <c r="J123" s="10">
        <v>0</v>
      </c>
      <c r="K123" s="11">
        <v>696.9</v>
      </c>
      <c r="L123" s="12">
        <f t="shared" si="3"/>
        <v>0</v>
      </c>
      <c r="M123" s="12">
        <f t="shared" si="4"/>
        <v>802.529133</v>
      </c>
      <c r="N123" s="9">
        <v>2.7902</v>
      </c>
      <c r="O123" s="9">
        <v>0.79420000000000002</v>
      </c>
      <c r="P123" s="15">
        <v>28.5</v>
      </c>
      <c r="Q123" s="15">
        <v>36.034999999999997</v>
      </c>
      <c r="R123">
        <v>0.29099999999999998</v>
      </c>
      <c r="S123" s="17">
        <v>118773.51698299999</v>
      </c>
      <c r="T123">
        <v>191.40600000000001</v>
      </c>
      <c r="U123" s="41">
        <f t="shared" si="5"/>
        <v>22041.740742000002</v>
      </c>
    </row>
    <row r="124" spans="1:21" x14ac:dyDescent="0.2">
      <c r="A124" s="7" t="s">
        <v>13</v>
      </c>
      <c r="B124" s="7" t="s">
        <v>143</v>
      </c>
      <c r="C124" s="8">
        <v>103552.293660041</v>
      </c>
      <c r="D124" s="3">
        <v>383939</v>
      </c>
      <c r="E124" s="3">
        <v>403564</v>
      </c>
      <c r="F124" s="5"/>
      <c r="G124" s="2"/>
      <c r="H124" s="7">
        <v>448645</v>
      </c>
      <c r="I124" s="9">
        <v>0</v>
      </c>
      <c r="J124" s="10">
        <v>0</v>
      </c>
      <c r="K124" s="11">
        <v>696.9</v>
      </c>
      <c r="L124" s="12">
        <f t="shared" si="3"/>
        <v>0</v>
      </c>
      <c r="M124" s="12">
        <f t="shared" si="4"/>
        <v>3126.6070049999998</v>
      </c>
      <c r="N124" s="9">
        <v>2.7902</v>
      </c>
      <c r="O124" s="9">
        <v>0.79420000000000002</v>
      </c>
      <c r="P124" s="15">
        <v>28.5</v>
      </c>
      <c r="Q124" s="15">
        <v>36.034999999999997</v>
      </c>
      <c r="R124">
        <v>0.29099999999999998</v>
      </c>
      <c r="S124" s="17">
        <v>118773.51698299999</v>
      </c>
      <c r="T124">
        <v>219.26499999999999</v>
      </c>
      <c r="U124" s="41">
        <f t="shared" si="5"/>
        <v>98372.14592499999</v>
      </c>
    </row>
    <row r="125" spans="1:21" x14ac:dyDescent="0.2">
      <c r="A125" s="7" t="s">
        <v>13</v>
      </c>
      <c r="B125" s="7" t="s">
        <v>144</v>
      </c>
      <c r="C125" s="8">
        <v>31059.443533281599</v>
      </c>
      <c r="D125" s="3">
        <v>76190</v>
      </c>
      <c r="E125" s="3">
        <v>79511</v>
      </c>
      <c r="F125" s="5"/>
      <c r="G125" s="2"/>
      <c r="H125" s="7">
        <v>114156</v>
      </c>
      <c r="I125" s="9">
        <v>0</v>
      </c>
      <c r="J125" s="10">
        <v>0</v>
      </c>
      <c r="K125" s="11">
        <v>696.9</v>
      </c>
      <c r="L125" s="12">
        <f t="shared" si="3"/>
        <v>0</v>
      </c>
      <c r="M125" s="12">
        <f t="shared" si="4"/>
        <v>795.55316399999992</v>
      </c>
      <c r="N125" s="9">
        <v>2.7902</v>
      </c>
      <c r="O125" s="9">
        <v>0.79420000000000002</v>
      </c>
      <c r="P125" s="15">
        <v>28.5</v>
      </c>
      <c r="Q125" s="15">
        <v>36.034999999999997</v>
      </c>
      <c r="R125">
        <v>0.29099999999999998</v>
      </c>
      <c r="S125" s="17">
        <v>118773.51698299999</v>
      </c>
      <c r="T125">
        <v>221.191</v>
      </c>
      <c r="U125" s="41">
        <f t="shared" si="5"/>
        <v>25250.279795999999</v>
      </c>
    </row>
    <row r="126" spans="1:21" x14ac:dyDescent="0.2">
      <c r="A126" s="7" t="s">
        <v>13</v>
      </c>
      <c r="B126" s="7" t="s">
        <v>145</v>
      </c>
      <c r="C126" s="8">
        <v>65776.555765722194</v>
      </c>
      <c r="D126" s="3">
        <v>214185</v>
      </c>
      <c r="E126" s="3">
        <v>197216</v>
      </c>
      <c r="F126" s="5"/>
      <c r="G126" s="2"/>
      <c r="H126" s="7">
        <v>303493</v>
      </c>
      <c r="I126" s="9">
        <v>0</v>
      </c>
      <c r="J126" s="10">
        <v>0</v>
      </c>
      <c r="K126" s="11">
        <v>696.9</v>
      </c>
      <c r="L126" s="12">
        <f t="shared" si="3"/>
        <v>0</v>
      </c>
      <c r="M126" s="12">
        <f t="shared" si="4"/>
        <v>2115.0427169999998</v>
      </c>
      <c r="N126" s="9">
        <v>2.7902</v>
      </c>
      <c r="O126" s="9">
        <v>0.79420000000000002</v>
      </c>
      <c r="P126" s="15">
        <v>28.5</v>
      </c>
      <c r="Q126" s="15">
        <v>36.034999999999997</v>
      </c>
      <c r="R126">
        <v>0.29099999999999998</v>
      </c>
      <c r="S126" s="17">
        <v>118773.51698299999</v>
      </c>
      <c r="T126">
        <v>200.517</v>
      </c>
      <c r="U126" s="41">
        <f t="shared" si="5"/>
        <v>60855.505880999997</v>
      </c>
    </row>
    <row r="127" spans="1:21" x14ac:dyDescent="0.2">
      <c r="A127" s="13" t="s">
        <v>13</v>
      </c>
      <c r="B127" s="13" t="s">
        <v>146</v>
      </c>
      <c r="C127" s="36">
        <v>41499.636058343203</v>
      </c>
      <c r="D127" s="37">
        <v>118093</v>
      </c>
      <c r="F127" s="37">
        <v>118093</v>
      </c>
      <c r="G127" s="37">
        <v>117987</v>
      </c>
      <c r="H127" s="7">
        <v>186216</v>
      </c>
      <c r="I127" s="9">
        <v>0</v>
      </c>
      <c r="J127" s="10">
        <v>0</v>
      </c>
      <c r="K127" s="11">
        <v>696.9</v>
      </c>
      <c r="L127" s="12">
        <f t="shared" si="3"/>
        <v>0</v>
      </c>
      <c r="M127" s="12">
        <f t="shared" si="4"/>
        <v>1297.7393039999999</v>
      </c>
      <c r="N127" s="9">
        <v>2.7902</v>
      </c>
      <c r="O127" s="9">
        <v>0.79420000000000002</v>
      </c>
      <c r="P127" s="15">
        <v>28.5</v>
      </c>
      <c r="Q127" s="15">
        <v>36.034999999999997</v>
      </c>
      <c r="R127">
        <v>0.29099999999999998</v>
      </c>
      <c r="S127" s="17">
        <v>118773.51698299999</v>
      </c>
      <c r="T127">
        <v>195.34200000000001</v>
      </c>
      <c r="U127" s="41">
        <f t="shared" si="5"/>
        <v>36375.805872000004</v>
      </c>
    </row>
    <row r="128" spans="1:21" x14ac:dyDescent="0.2">
      <c r="A128" s="7" t="s">
        <v>13</v>
      </c>
      <c r="B128" s="7" t="s">
        <v>147</v>
      </c>
      <c r="C128" s="8">
        <v>47528.8691670997</v>
      </c>
      <c r="D128" s="2"/>
      <c r="E128" s="5"/>
      <c r="F128" s="2">
        <v>92734</v>
      </c>
      <c r="G128" s="2">
        <v>77423</v>
      </c>
      <c r="H128" s="7">
        <v>171476</v>
      </c>
      <c r="I128" s="9">
        <v>0</v>
      </c>
      <c r="J128" s="10">
        <v>0</v>
      </c>
      <c r="K128" s="11">
        <v>696.9</v>
      </c>
      <c r="L128" s="12">
        <f t="shared" si="3"/>
        <v>0</v>
      </c>
      <c r="M128" s="12">
        <f t="shared" si="4"/>
        <v>1195.0162439999999</v>
      </c>
      <c r="N128" s="9">
        <v>2.7902</v>
      </c>
      <c r="O128" s="9">
        <v>0.79420000000000002</v>
      </c>
      <c r="P128" s="15">
        <v>28.5</v>
      </c>
      <c r="Q128" s="15">
        <v>36.034999999999997</v>
      </c>
      <c r="R128">
        <v>0.29099999999999998</v>
      </c>
      <c r="S128" s="17">
        <v>118773.51698299999</v>
      </c>
      <c r="T128">
        <v>218.727</v>
      </c>
      <c r="U128" s="41">
        <f t="shared" si="5"/>
        <v>37506.431052</v>
      </c>
    </row>
    <row r="129" spans="1:21" x14ac:dyDescent="0.2">
      <c r="A129" s="7" t="s">
        <v>13</v>
      </c>
      <c r="B129" s="7" t="s">
        <v>148</v>
      </c>
      <c r="C129" s="8">
        <v>20361.149361448199</v>
      </c>
      <c r="F129" s="3">
        <v>56395</v>
      </c>
      <c r="G129" s="3">
        <v>56761</v>
      </c>
      <c r="H129" s="7">
        <v>79282</v>
      </c>
      <c r="I129" s="9">
        <v>0</v>
      </c>
      <c r="J129" s="10">
        <v>0</v>
      </c>
      <c r="K129" s="11">
        <v>696.9</v>
      </c>
      <c r="L129" s="12">
        <f t="shared" si="3"/>
        <v>0</v>
      </c>
      <c r="M129" s="12">
        <f t="shared" si="4"/>
        <v>552.51625799999999</v>
      </c>
      <c r="N129" s="9">
        <v>2.7902</v>
      </c>
      <c r="O129" s="9">
        <v>0.79420000000000002</v>
      </c>
      <c r="P129" s="15">
        <v>28.5</v>
      </c>
      <c r="Q129" s="15">
        <v>36.034999999999997</v>
      </c>
      <c r="R129">
        <v>0.29099999999999998</v>
      </c>
      <c r="S129" s="17">
        <v>118773.51698299999</v>
      </c>
      <c r="T129">
        <v>261.91300000000001</v>
      </c>
      <c r="U129" s="41">
        <f t="shared" si="5"/>
        <v>20764.986466000002</v>
      </c>
    </row>
    <row r="130" spans="1:21" x14ac:dyDescent="0.2">
      <c r="A130" s="7" t="s">
        <v>13</v>
      </c>
      <c r="B130" s="7" t="s">
        <v>149</v>
      </c>
      <c r="C130" s="8">
        <v>101407.880411426</v>
      </c>
      <c r="D130" s="3">
        <v>291169</v>
      </c>
      <c r="E130" s="3">
        <v>289794</v>
      </c>
      <c r="F130" s="2">
        <v>56395</v>
      </c>
      <c r="G130" s="2">
        <v>56761</v>
      </c>
      <c r="H130" s="7">
        <v>379019</v>
      </c>
      <c r="I130" s="9">
        <v>0</v>
      </c>
      <c r="J130" s="10">
        <v>0</v>
      </c>
      <c r="K130" s="11">
        <v>696.9</v>
      </c>
      <c r="L130" s="12">
        <f t="shared" si="3"/>
        <v>0</v>
      </c>
      <c r="M130" s="12">
        <f t="shared" si="4"/>
        <v>2641.3834109999998</v>
      </c>
      <c r="N130" s="9">
        <v>2.7902</v>
      </c>
      <c r="O130" s="9">
        <v>0.79420000000000002</v>
      </c>
      <c r="P130" s="15">
        <v>28.5</v>
      </c>
      <c r="Q130" s="15">
        <v>36.034999999999997</v>
      </c>
      <c r="R130">
        <v>0.29099999999999998</v>
      </c>
      <c r="S130" s="17">
        <v>118773.51698299999</v>
      </c>
      <c r="T130">
        <v>226.04599999999999</v>
      </c>
      <c r="U130" s="41">
        <f t="shared" si="5"/>
        <v>85675.728873999993</v>
      </c>
    </row>
    <row r="131" spans="1:21" x14ac:dyDescent="0.2">
      <c r="A131" s="7" t="s">
        <v>13</v>
      </c>
      <c r="B131" s="7" t="s">
        <v>150</v>
      </c>
      <c r="C131" s="8">
        <v>63884.834282043397</v>
      </c>
      <c r="D131" s="2">
        <v>347380</v>
      </c>
      <c r="E131" s="2">
        <v>376721</v>
      </c>
      <c r="F131" s="5"/>
      <c r="G131" s="2"/>
      <c r="H131" s="7">
        <v>287381</v>
      </c>
      <c r="I131" s="9">
        <v>0</v>
      </c>
      <c r="J131" s="10">
        <v>0</v>
      </c>
      <c r="K131" s="11">
        <v>696.9</v>
      </c>
      <c r="L131" s="12">
        <f t="shared" ref="L131:L194" si="6">IFERROR($H131*J131/100000,"")</f>
        <v>0</v>
      </c>
      <c r="M131" s="12">
        <f t="shared" ref="M131:M194" si="7">IFERROR($H131*K131/100000,"")</f>
        <v>2002.7581890000001</v>
      </c>
      <c r="N131" s="9">
        <v>2.7902</v>
      </c>
      <c r="O131" s="9">
        <v>0.79420000000000002</v>
      </c>
      <c r="P131" s="15">
        <v>28.5</v>
      </c>
      <c r="Q131" s="15">
        <v>36.034999999999997</v>
      </c>
      <c r="R131">
        <v>0.29099999999999998</v>
      </c>
      <c r="S131" s="17">
        <v>118773.51698299999</v>
      </c>
      <c r="T131">
        <v>154.33699999999999</v>
      </c>
      <c r="U131" s="41">
        <f t="shared" ref="U131:U194" si="8">IFERROR($T131*$H131/1000,"")</f>
        <v>44353.521396999997</v>
      </c>
    </row>
    <row r="132" spans="1:21" x14ac:dyDescent="0.2">
      <c r="A132" s="7" t="s">
        <v>13</v>
      </c>
      <c r="B132" s="7" t="s">
        <v>151</v>
      </c>
      <c r="C132" s="8">
        <v>60664.317928313802</v>
      </c>
      <c r="D132" s="3"/>
      <c r="E132" s="3"/>
      <c r="F132" s="2">
        <v>106525</v>
      </c>
      <c r="G132" s="2">
        <v>108594</v>
      </c>
      <c r="H132" s="7">
        <v>186096</v>
      </c>
      <c r="I132" s="9">
        <v>0</v>
      </c>
      <c r="J132" s="10">
        <v>0</v>
      </c>
      <c r="K132" s="11">
        <v>696.9</v>
      </c>
      <c r="L132" s="12">
        <f t="shared" si="6"/>
        <v>0</v>
      </c>
      <c r="M132" s="12">
        <f t="shared" si="7"/>
        <v>1296.903024</v>
      </c>
      <c r="N132" s="9">
        <v>2.7902</v>
      </c>
      <c r="O132" s="9">
        <v>0.79420000000000002</v>
      </c>
      <c r="P132" s="15">
        <v>28.5</v>
      </c>
      <c r="Q132" s="15">
        <v>36.034999999999997</v>
      </c>
      <c r="R132">
        <v>0.29099999999999998</v>
      </c>
      <c r="S132" s="17">
        <v>118773.51698299999</v>
      </c>
      <c r="T132">
        <v>256.10599999999999</v>
      </c>
      <c r="U132" s="41">
        <f t="shared" si="8"/>
        <v>47660.302175999997</v>
      </c>
    </row>
    <row r="133" spans="1:21" x14ac:dyDescent="0.2">
      <c r="A133" s="7" t="s">
        <v>13</v>
      </c>
      <c r="B133" s="7" t="s">
        <v>152</v>
      </c>
      <c r="C133" s="8">
        <v>230932.087946018</v>
      </c>
      <c r="D133" s="3">
        <v>583975</v>
      </c>
      <c r="E133" s="3">
        <v>577273</v>
      </c>
      <c r="F133" s="4"/>
      <c r="G133" s="4"/>
      <c r="H133" s="7">
        <v>1525470</v>
      </c>
      <c r="I133" s="9">
        <v>0</v>
      </c>
      <c r="J133" s="10">
        <v>0</v>
      </c>
      <c r="K133" s="11">
        <v>696.9</v>
      </c>
      <c r="L133" s="12">
        <f t="shared" si="6"/>
        <v>0</v>
      </c>
      <c r="M133" s="12">
        <f t="shared" si="7"/>
        <v>10631.00043</v>
      </c>
      <c r="N133" s="9">
        <v>2.7902</v>
      </c>
      <c r="O133" s="9">
        <v>0.79420000000000002</v>
      </c>
      <c r="P133" s="15">
        <v>28.5</v>
      </c>
      <c r="Q133" s="15">
        <v>36.034999999999997</v>
      </c>
      <c r="R133">
        <v>0.29099999999999998</v>
      </c>
      <c r="S133" s="17">
        <v>118773.51698299999</v>
      </c>
      <c r="T133">
        <v>115.12</v>
      </c>
      <c r="U133" s="41">
        <f t="shared" si="8"/>
        <v>175612.10640000002</v>
      </c>
    </row>
    <row r="134" spans="1:21" x14ac:dyDescent="0.2">
      <c r="A134" s="7" t="s">
        <v>13</v>
      </c>
      <c r="B134" s="7" t="s">
        <v>153</v>
      </c>
      <c r="C134" s="8">
        <v>147596.639658756</v>
      </c>
      <c r="D134" s="3">
        <v>550586</v>
      </c>
      <c r="E134" s="3">
        <v>563928</v>
      </c>
      <c r="F134" s="5"/>
      <c r="G134" s="2"/>
      <c r="H134" s="7">
        <v>678374</v>
      </c>
      <c r="I134" s="9">
        <v>0</v>
      </c>
      <c r="J134" s="10">
        <v>0</v>
      </c>
      <c r="K134" s="11">
        <v>696.9</v>
      </c>
      <c r="L134" s="12">
        <f t="shared" si="6"/>
        <v>0</v>
      </c>
      <c r="M134" s="12">
        <f t="shared" si="7"/>
        <v>4727.5884059999998</v>
      </c>
      <c r="N134" s="9">
        <v>2.7902</v>
      </c>
      <c r="O134" s="9">
        <v>0.79420000000000002</v>
      </c>
      <c r="P134" s="15">
        <v>28.5</v>
      </c>
      <c r="Q134" s="15">
        <v>36.034999999999997</v>
      </c>
      <c r="R134">
        <v>0.29099999999999998</v>
      </c>
      <c r="S134" s="17">
        <v>118773.51698299999</v>
      </c>
      <c r="T134">
        <v>203.72399999999999</v>
      </c>
      <c r="U134" s="41">
        <f t="shared" si="8"/>
        <v>138201.06477599998</v>
      </c>
    </row>
    <row r="135" spans="1:21" x14ac:dyDescent="0.2">
      <c r="A135" s="7" t="s">
        <v>13</v>
      </c>
      <c r="B135" s="7" t="s">
        <v>154</v>
      </c>
      <c r="C135" s="8">
        <v>26527.444640575199</v>
      </c>
      <c r="D135" s="3">
        <v>40003</v>
      </c>
      <c r="E135" s="3">
        <v>39575</v>
      </c>
      <c r="F135" s="5"/>
      <c r="G135" s="2"/>
      <c r="H135" s="7">
        <v>97894</v>
      </c>
      <c r="I135" s="9">
        <v>0</v>
      </c>
      <c r="J135" s="10">
        <v>0</v>
      </c>
      <c r="K135" s="11">
        <v>696.9</v>
      </c>
      <c r="L135" s="12">
        <f t="shared" si="6"/>
        <v>0</v>
      </c>
      <c r="M135" s="12">
        <f t="shared" si="7"/>
        <v>682.22328599999992</v>
      </c>
      <c r="N135" s="9">
        <v>2.7902</v>
      </c>
      <c r="O135" s="9">
        <v>0.79420000000000002</v>
      </c>
      <c r="P135" s="15">
        <v>28.5</v>
      </c>
      <c r="Q135" s="15">
        <v>36.034999999999997</v>
      </c>
      <c r="R135">
        <v>0.29099999999999998</v>
      </c>
      <c r="S135" s="17">
        <v>118773.51698299999</v>
      </c>
      <c r="T135">
        <v>218.66499999999999</v>
      </c>
      <c r="U135" s="41">
        <f t="shared" si="8"/>
        <v>21405.991509999996</v>
      </c>
    </row>
    <row r="136" spans="1:21" x14ac:dyDescent="0.2">
      <c r="A136" s="7" t="s">
        <v>13</v>
      </c>
      <c r="B136" s="7" t="s">
        <v>155</v>
      </c>
      <c r="C136" s="8">
        <v>36131.659840776803</v>
      </c>
      <c r="D136" s="3">
        <v>70287</v>
      </c>
      <c r="E136" s="3">
        <v>70815</v>
      </c>
      <c r="F136" s="5"/>
      <c r="G136" s="2"/>
      <c r="H136" s="7">
        <v>91432</v>
      </c>
      <c r="I136" s="9">
        <v>0</v>
      </c>
      <c r="J136" s="10">
        <v>0</v>
      </c>
      <c r="K136" s="11">
        <v>696.9</v>
      </c>
      <c r="L136" s="12">
        <f t="shared" si="6"/>
        <v>0</v>
      </c>
      <c r="M136" s="12">
        <f t="shared" si="7"/>
        <v>637.18960800000002</v>
      </c>
      <c r="N136" s="9">
        <v>2.7902</v>
      </c>
      <c r="O136" s="9">
        <v>0.79420000000000002</v>
      </c>
      <c r="P136" s="15">
        <v>28.5</v>
      </c>
      <c r="Q136" s="15">
        <v>36.034999999999997</v>
      </c>
      <c r="R136">
        <v>0.29099999999999998</v>
      </c>
      <c r="S136" s="17">
        <v>118773.51698299999</v>
      </c>
      <c r="T136">
        <v>273.67200000000003</v>
      </c>
      <c r="U136" s="41">
        <f t="shared" si="8"/>
        <v>25022.378304000002</v>
      </c>
    </row>
    <row r="137" spans="1:21" x14ac:dyDescent="0.2">
      <c r="A137" s="7" t="s">
        <v>13</v>
      </c>
      <c r="B137" s="7" t="s">
        <v>156</v>
      </c>
      <c r="C137" s="8">
        <v>33041.327581279496</v>
      </c>
      <c r="D137" s="3"/>
      <c r="E137" s="3"/>
      <c r="F137" s="2">
        <v>79960</v>
      </c>
      <c r="G137" s="2">
        <v>80867</v>
      </c>
      <c r="H137" s="7">
        <v>140171</v>
      </c>
      <c r="I137" s="9">
        <v>0</v>
      </c>
      <c r="J137" s="10">
        <v>0</v>
      </c>
      <c r="K137" s="11">
        <v>696.9</v>
      </c>
      <c r="L137" s="12">
        <f t="shared" si="6"/>
        <v>0</v>
      </c>
      <c r="M137" s="12">
        <f t="shared" si="7"/>
        <v>976.85169899999994</v>
      </c>
      <c r="N137" s="9">
        <v>2.7902</v>
      </c>
      <c r="O137" s="9">
        <v>0.79420000000000002</v>
      </c>
      <c r="P137" s="15">
        <v>28.5</v>
      </c>
      <c r="Q137" s="15">
        <v>36.034999999999997</v>
      </c>
      <c r="R137">
        <v>0.29099999999999998</v>
      </c>
      <c r="S137" s="17">
        <v>118773.51698299999</v>
      </c>
      <c r="T137">
        <v>207.51599999999999</v>
      </c>
      <c r="U137" s="41">
        <f t="shared" si="8"/>
        <v>29087.725235999998</v>
      </c>
    </row>
    <row r="138" spans="1:21" x14ac:dyDescent="0.2">
      <c r="A138" s="7" t="s">
        <v>14</v>
      </c>
      <c r="B138" s="7" t="s">
        <v>157</v>
      </c>
      <c r="C138" s="8">
        <v>1949417.63902284</v>
      </c>
      <c r="D138" s="7">
        <v>142810</v>
      </c>
      <c r="E138" s="7">
        <v>107942</v>
      </c>
      <c r="F138" s="9"/>
      <c r="G138" s="7"/>
      <c r="H138" s="7">
        <v>8659960</v>
      </c>
      <c r="I138" s="9">
        <v>0</v>
      </c>
      <c r="J138" s="10">
        <v>189.4</v>
      </c>
      <c r="K138" s="11">
        <v>339.2</v>
      </c>
      <c r="L138" s="12">
        <f t="shared" si="6"/>
        <v>16401.964240000001</v>
      </c>
      <c r="M138" s="12">
        <f t="shared" si="7"/>
        <v>29374.584320000002</v>
      </c>
      <c r="N138" s="9">
        <v>4.4661999999999997</v>
      </c>
      <c r="O138" s="9">
        <v>1.0952</v>
      </c>
      <c r="P138" s="15">
        <v>3.18</v>
      </c>
      <c r="Q138" s="15">
        <v>108.74</v>
      </c>
      <c r="R138">
        <v>0.14499999999999999</v>
      </c>
      <c r="S138" s="17">
        <v>3000306.4796250002</v>
      </c>
      <c r="T138">
        <v>211.941</v>
      </c>
      <c r="U138" s="41">
        <f t="shared" si="8"/>
        <v>1835400.5823600001</v>
      </c>
    </row>
    <row r="139" spans="1:21" x14ac:dyDescent="0.2">
      <c r="A139" s="7" t="s">
        <v>14</v>
      </c>
      <c r="B139" s="7" t="s">
        <v>158</v>
      </c>
      <c r="C139" s="8">
        <v>2289771.1827253499</v>
      </c>
      <c r="D139" s="7">
        <v>1888859</v>
      </c>
      <c r="E139" s="7">
        <v>1554212</v>
      </c>
      <c r="F139" s="9"/>
      <c r="G139" s="7"/>
      <c r="H139" s="7">
        <v>8827059</v>
      </c>
      <c r="I139" s="9">
        <v>0</v>
      </c>
      <c r="J139" s="10">
        <v>189.4</v>
      </c>
      <c r="K139" s="11">
        <v>339.2</v>
      </c>
      <c r="L139" s="12">
        <f t="shared" si="6"/>
        <v>16718.449746000002</v>
      </c>
      <c r="M139" s="12">
        <f t="shared" si="7"/>
        <v>29941.384127999998</v>
      </c>
      <c r="N139" s="9">
        <v>4.4661999999999997</v>
      </c>
      <c r="O139" s="9">
        <v>1.0952</v>
      </c>
      <c r="P139" s="15">
        <v>3.18</v>
      </c>
      <c r="Q139" s="15">
        <v>108.74</v>
      </c>
      <c r="R139">
        <v>0.14499999999999999</v>
      </c>
      <c r="S139" s="17">
        <v>3000306.4796250002</v>
      </c>
      <c r="T139">
        <v>259.084</v>
      </c>
      <c r="U139" s="41">
        <f t="shared" si="8"/>
        <v>2286949.7539559999</v>
      </c>
    </row>
    <row r="140" spans="1:21" x14ac:dyDescent="0.2">
      <c r="A140" s="7" t="s">
        <v>15</v>
      </c>
      <c r="B140" s="7" t="s">
        <v>159</v>
      </c>
      <c r="C140" s="8">
        <v>651245.11590201803</v>
      </c>
      <c r="D140" s="7">
        <v>1749525</v>
      </c>
      <c r="E140" s="7">
        <v>1690497</v>
      </c>
      <c r="F140" s="9"/>
      <c r="G140" s="13"/>
      <c r="H140" s="7">
        <v>3328375</v>
      </c>
      <c r="I140" s="9">
        <v>0</v>
      </c>
      <c r="J140" s="10">
        <v>198.3</v>
      </c>
      <c r="K140" s="11">
        <v>179.7</v>
      </c>
      <c r="L140" s="12">
        <f t="shared" si="6"/>
        <v>6600.167625</v>
      </c>
      <c r="M140" s="12">
        <f t="shared" si="7"/>
        <v>5981.0898749999997</v>
      </c>
      <c r="N140" s="9">
        <v>5.7060000000000004</v>
      </c>
      <c r="O140" s="9">
        <v>1.2477</v>
      </c>
      <c r="P140" s="15">
        <v>9.75</v>
      </c>
      <c r="Q140" s="15">
        <v>102.02500000000001</v>
      </c>
      <c r="R140">
        <v>0.37</v>
      </c>
      <c r="S140" s="17">
        <v>808825.7905</v>
      </c>
      <c r="T140">
        <v>204.33699999999999</v>
      </c>
      <c r="U140" s="41">
        <f t="shared" si="8"/>
        <v>680110.16237499996</v>
      </c>
    </row>
    <row r="141" spans="1:21" x14ac:dyDescent="0.2">
      <c r="A141" s="7" t="s">
        <v>15</v>
      </c>
      <c r="B141" s="7" t="s">
        <v>160</v>
      </c>
      <c r="C141" s="8">
        <v>1139817.9417948299</v>
      </c>
      <c r="D141" s="7">
        <v>2476511</v>
      </c>
      <c r="E141" s="7">
        <v>2619020</v>
      </c>
      <c r="F141" s="9"/>
      <c r="G141" s="9"/>
      <c r="H141" s="7">
        <v>4044173</v>
      </c>
      <c r="I141" s="9">
        <v>0</v>
      </c>
      <c r="J141" s="10">
        <v>198.3</v>
      </c>
      <c r="K141" s="11">
        <v>179.7</v>
      </c>
      <c r="L141" s="12">
        <f t="shared" si="6"/>
        <v>8019.5950590000011</v>
      </c>
      <c r="M141" s="12">
        <f t="shared" si="7"/>
        <v>7267.3788809999987</v>
      </c>
      <c r="N141" s="9">
        <v>5.7060000000000004</v>
      </c>
      <c r="O141" s="9">
        <v>1.2477</v>
      </c>
      <c r="P141" s="15">
        <v>9.75</v>
      </c>
      <c r="Q141" s="15">
        <v>102.02500000000001</v>
      </c>
      <c r="R141">
        <v>0.37</v>
      </c>
      <c r="S141" s="17">
        <v>808825.7905</v>
      </c>
      <c r="T141">
        <v>217.76599999999999</v>
      </c>
      <c r="U141" s="41">
        <f t="shared" si="8"/>
        <v>880683.37751799996</v>
      </c>
    </row>
    <row r="142" spans="1:21" x14ac:dyDescent="0.2">
      <c r="A142" s="7" t="s">
        <v>15</v>
      </c>
      <c r="B142" s="7" t="s">
        <v>161</v>
      </c>
      <c r="C142" s="8">
        <v>1309175.54012753</v>
      </c>
      <c r="D142" s="7">
        <v>1224557</v>
      </c>
      <c r="E142" s="7">
        <v>1196186</v>
      </c>
      <c r="F142" s="9"/>
      <c r="G142" s="9"/>
      <c r="H142" s="7">
        <v>4412991</v>
      </c>
      <c r="I142" s="9">
        <v>0</v>
      </c>
      <c r="J142" s="10">
        <v>198.3</v>
      </c>
      <c r="K142" s="11">
        <v>179.7</v>
      </c>
      <c r="L142" s="12">
        <f t="shared" si="6"/>
        <v>8750.9611530000002</v>
      </c>
      <c r="M142" s="12">
        <f t="shared" si="7"/>
        <v>7930.1448269999992</v>
      </c>
      <c r="N142" s="9">
        <v>5.7060000000000004</v>
      </c>
      <c r="O142" s="9">
        <v>1.2477</v>
      </c>
      <c r="P142" s="15">
        <v>9.75</v>
      </c>
      <c r="Q142" s="15">
        <v>102.02500000000001</v>
      </c>
      <c r="R142">
        <v>0.37</v>
      </c>
      <c r="S142" s="17">
        <v>808825.7905</v>
      </c>
      <c r="T142">
        <v>299.51100000000002</v>
      </c>
      <c r="U142" s="41">
        <f t="shared" si="8"/>
        <v>1321739.3474010001</v>
      </c>
    </row>
    <row r="143" spans="1:21" x14ac:dyDescent="0.2">
      <c r="A143" s="7" t="s">
        <v>16</v>
      </c>
      <c r="B143" s="7" t="s">
        <v>162</v>
      </c>
      <c r="C143" s="8">
        <v>2374477.1209899802</v>
      </c>
      <c r="D143" s="7"/>
      <c r="E143" s="13"/>
      <c r="F143" s="7">
        <v>4735703</v>
      </c>
      <c r="G143" s="7">
        <v>4440844</v>
      </c>
      <c r="H143" s="7">
        <v>6814438</v>
      </c>
      <c r="I143" s="9">
        <v>0</v>
      </c>
      <c r="J143" s="10">
        <v>188.6</v>
      </c>
      <c r="K143" s="11">
        <v>156.30000000000001</v>
      </c>
      <c r="L143" s="12">
        <f t="shared" si="6"/>
        <v>12852.030068</v>
      </c>
      <c r="M143" s="12">
        <f t="shared" si="7"/>
        <v>10650.966594000001</v>
      </c>
      <c r="N143" s="9">
        <v>4.9494999999999996</v>
      </c>
      <c r="O143" s="9">
        <v>1.2009000000000001</v>
      </c>
      <c r="P143" s="15">
        <v>4.665</v>
      </c>
      <c r="Q143" s="15">
        <v>58.02</v>
      </c>
      <c r="R143">
        <v>0.24199999999999999</v>
      </c>
      <c r="S143" s="17">
        <v>572267.66837500001</v>
      </c>
      <c r="T143">
        <v>359.23500000000001</v>
      </c>
      <c r="U143" s="41">
        <f t="shared" si="8"/>
        <v>2447984.6349300002</v>
      </c>
    </row>
    <row r="144" spans="1:21" x14ac:dyDescent="0.2">
      <c r="A144" s="7" t="s">
        <v>16</v>
      </c>
      <c r="B144" s="7" t="s">
        <v>163</v>
      </c>
      <c r="C144" s="8">
        <v>690559.68179620395</v>
      </c>
      <c r="D144" s="7"/>
      <c r="E144" s="13"/>
      <c r="F144" s="7">
        <v>466509</v>
      </c>
      <c r="G144" s="7">
        <v>318198</v>
      </c>
      <c r="H144" s="7">
        <v>2274937</v>
      </c>
      <c r="I144" s="9">
        <v>0</v>
      </c>
      <c r="J144" s="10">
        <v>188.6</v>
      </c>
      <c r="K144" s="11">
        <v>156.30000000000001</v>
      </c>
      <c r="L144" s="12">
        <f t="shared" si="6"/>
        <v>4290.5311819999997</v>
      </c>
      <c r="M144" s="12">
        <f t="shared" si="7"/>
        <v>3555.7265310000003</v>
      </c>
      <c r="N144" s="9">
        <v>4.9494999999999996</v>
      </c>
      <c r="O144" s="9">
        <v>1.2009000000000001</v>
      </c>
      <c r="P144" s="15">
        <v>4.665</v>
      </c>
      <c r="Q144" s="15">
        <v>58.02</v>
      </c>
      <c r="R144">
        <v>0.24199999999999999</v>
      </c>
      <c r="S144" s="17">
        <v>572267.66837500001</v>
      </c>
      <c r="T144">
        <v>296.46300000000002</v>
      </c>
      <c r="U144" s="41">
        <f t="shared" si="8"/>
        <v>674434.64783100004</v>
      </c>
    </row>
    <row r="145" spans="1:21" x14ac:dyDescent="0.2">
      <c r="A145" s="7" t="s">
        <v>16</v>
      </c>
      <c r="B145" s="7" t="s">
        <v>164</v>
      </c>
      <c r="C145" s="8">
        <v>718874.84636776696</v>
      </c>
      <c r="D145" s="7"/>
      <c r="E145" s="13"/>
      <c r="F145" s="7">
        <v>508706</v>
      </c>
      <c r="G145" s="7">
        <v>499849</v>
      </c>
      <c r="H145" s="7">
        <v>2750530</v>
      </c>
      <c r="I145" s="9">
        <v>0</v>
      </c>
      <c r="J145" s="10">
        <v>188.6</v>
      </c>
      <c r="K145" s="11">
        <v>156.30000000000001</v>
      </c>
      <c r="L145" s="12">
        <f t="shared" si="6"/>
        <v>5187.4995799999997</v>
      </c>
      <c r="M145" s="12">
        <f t="shared" si="7"/>
        <v>4299.0783900000006</v>
      </c>
      <c r="N145" s="9">
        <v>4.9494999999999996</v>
      </c>
      <c r="O145" s="9">
        <v>1.2009000000000001</v>
      </c>
      <c r="P145" s="15">
        <v>4.665</v>
      </c>
      <c r="Q145" s="15">
        <v>58.02</v>
      </c>
      <c r="R145">
        <v>0.24199999999999999</v>
      </c>
      <c r="S145" s="17">
        <v>572267.66837500001</v>
      </c>
      <c r="T145">
        <v>281.09100000000001</v>
      </c>
      <c r="U145" s="41">
        <f t="shared" si="8"/>
        <v>773149.22823000001</v>
      </c>
    </row>
    <row r="146" spans="1:21" x14ac:dyDescent="0.2">
      <c r="A146" s="7" t="s">
        <v>16</v>
      </c>
      <c r="B146" s="7" t="s">
        <v>165</v>
      </c>
      <c r="C146" s="8">
        <v>2078578.0724752101</v>
      </c>
      <c r="D146" s="7"/>
      <c r="E146" s="13"/>
      <c r="F146" s="7">
        <v>2728783</v>
      </c>
      <c r="G146" s="7">
        <v>1849318</v>
      </c>
      <c r="H146" s="7">
        <v>6156786</v>
      </c>
      <c r="I146" s="9">
        <v>0</v>
      </c>
      <c r="J146" s="10">
        <v>188.6</v>
      </c>
      <c r="K146" s="11">
        <v>156.30000000000001</v>
      </c>
      <c r="L146" s="12">
        <f t="shared" si="6"/>
        <v>11611.698396</v>
      </c>
      <c r="M146" s="12">
        <f t="shared" si="7"/>
        <v>9623.0565180000012</v>
      </c>
      <c r="N146" s="9">
        <v>4.9494999999999996</v>
      </c>
      <c r="O146" s="9">
        <v>1.2009000000000001</v>
      </c>
      <c r="P146" s="15">
        <v>4.665</v>
      </c>
      <c r="Q146" s="15">
        <v>58.02</v>
      </c>
      <c r="R146">
        <v>0.24199999999999999</v>
      </c>
      <c r="S146" s="17">
        <v>572267.66837500001</v>
      </c>
      <c r="T146">
        <v>327.315</v>
      </c>
      <c r="U146" s="41">
        <f t="shared" si="8"/>
        <v>2015208.4095899998</v>
      </c>
    </row>
    <row r="147" spans="1:21" x14ac:dyDescent="0.2">
      <c r="A147" s="7" t="s">
        <v>17</v>
      </c>
      <c r="B147" s="7" t="s">
        <v>166</v>
      </c>
      <c r="C147" s="8">
        <v>995641.10400175594</v>
      </c>
      <c r="D147" s="7"/>
      <c r="E147" s="13"/>
      <c r="F147" s="7">
        <v>462572</v>
      </c>
      <c r="G147" s="7">
        <v>439590</v>
      </c>
      <c r="H147" s="7">
        <v>4941158</v>
      </c>
      <c r="I147" s="5">
        <v>0</v>
      </c>
      <c r="J147" s="10">
        <v>478.7</v>
      </c>
      <c r="K147" s="11">
        <v>44.8</v>
      </c>
      <c r="L147" s="12">
        <f t="shared" si="6"/>
        <v>23653.323345999997</v>
      </c>
      <c r="M147" s="12">
        <f t="shared" si="7"/>
        <v>2213.6387839999998</v>
      </c>
      <c r="N147" s="9">
        <v>15.417999999999999</v>
      </c>
      <c r="O147" s="9">
        <v>2.7208000000000001</v>
      </c>
      <c r="P147" s="15">
        <v>36.11</v>
      </c>
      <c r="Q147" s="15">
        <v>78.704999999999998</v>
      </c>
      <c r="R147">
        <v>0.23400000000000001</v>
      </c>
      <c r="S147" s="17">
        <v>48560.776225000001</v>
      </c>
      <c r="T147">
        <v>280.577</v>
      </c>
      <c r="U147" s="41">
        <f t="shared" si="8"/>
        <v>1386375.2881659998</v>
      </c>
    </row>
    <row r="148" spans="1:21" x14ac:dyDescent="0.2">
      <c r="A148" s="7" t="s">
        <v>17</v>
      </c>
      <c r="B148" s="7" t="s">
        <v>167</v>
      </c>
      <c r="C148" s="8">
        <v>655155.54806139902</v>
      </c>
      <c r="D148" s="7">
        <v>492780</v>
      </c>
      <c r="E148" s="7">
        <v>632886</v>
      </c>
      <c r="F148" s="7">
        <v>0</v>
      </c>
      <c r="G148" s="7">
        <v>13598</v>
      </c>
      <c r="H148" s="7">
        <v>6114189</v>
      </c>
      <c r="I148" s="2">
        <v>17.355</v>
      </c>
      <c r="J148" s="10">
        <v>478.7</v>
      </c>
      <c r="K148" s="11">
        <v>44.8</v>
      </c>
      <c r="L148" s="12">
        <f t="shared" si="6"/>
        <v>29268.622742999996</v>
      </c>
      <c r="M148" s="12">
        <f t="shared" si="7"/>
        <v>2739.1566720000001</v>
      </c>
      <c r="N148" s="9">
        <v>15.417999999999999</v>
      </c>
      <c r="O148" s="9">
        <v>2.7208000000000001</v>
      </c>
      <c r="P148" s="15">
        <v>36.11</v>
      </c>
      <c r="Q148" s="15">
        <v>78.704999999999998</v>
      </c>
      <c r="R148">
        <v>0.23400000000000001</v>
      </c>
      <c r="S148" s="17">
        <v>48560.776225000001</v>
      </c>
      <c r="T148">
        <v>277.54599999999999</v>
      </c>
      <c r="U148" s="41">
        <f t="shared" si="8"/>
        <v>1696968.700194</v>
      </c>
    </row>
    <row r="149" spans="1:21" x14ac:dyDescent="0.2">
      <c r="A149" s="7" t="s">
        <v>17</v>
      </c>
      <c r="B149" s="7" t="s">
        <v>168</v>
      </c>
      <c r="C149" s="8">
        <v>1843687.99736505</v>
      </c>
      <c r="D149" s="7"/>
      <c r="E149" s="13"/>
      <c r="F149" s="7">
        <v>0</v>
      </c>
      <c r="G149" s="7">
        <v>232780</v>
      </c>
      <c r="H149" s="7">
        <v>6522541</v>
      </c>
      <c r="I149" s="2">
        <v>12.4071429</v>
      </c>
      <c r="J149" s="10">
        <v>478.7</v>
      </c>
      <c r="K149" s="11">
        <v>44.8</v>
      </c>
      <c r="L149" s="12">
        <f t="shared" si="6"/>
        <v>31223.403767</v>
      </c>
      <c r="M149" s="12">
        <f t="shared" si="7"/>
        <v>2922.0983679999995</v>
      </c>
      <c r="N149" s="9">
        <v>15.417999999999999</v>
      </c>
      <c r="O149" s="9">
        <v>2.7208000000000001</v>
      </c>
      <c r="P149" s="15">
        <v>36.11</v>
      </c>
      <c r="Q149" s="15">
        <v>78.704999999999998</v>
      </c>
      <c r="R149">
        <v>0.23400000000000001</v>
      </c>
      <c r="S149" s="17">
        <v>48560.776225000001</v>
      </c>
      <c r="T149">
        <v>233.822</v>
      </c>
      <c r="U149" s="41">
        <f t="shared" si="8"/>
        <v>1525113.581702</v>
      </c>
    </row>
    <row r="150" spans="1:21" x14ac:dyDescent="0.2">
      <c r="A150" s="7" t="s">
        <v>17</v>
      </c>
      <c r="B150" s="7" t="s">
        <v>169</v>
      </c>
      <c r="C150" s="8">
        <v>2324949.8608742501</v>
      </c>
      <c r="D150" s="7"/>
      <c r="E150" s="13"/>
      <c r="F150" s="7">
        <v>4029</v>
      </c>
      <c r="G150" s="7">
        <v>5992</v>
      </c>
      <c r="H150" s="7">
        <v>7293561</v>
      </c>
      <c r="I150" s="2">
        <v>0.74924999999999997</v>
      </c>
      <c r="J150" s="10">
        <v>478.7</v>
      </c>
      <c r="K150" s="11">
        <v>44.8</v>
      </c>
      <c r="L150" s="12">
        <f t="shared" si="6"/>
        <v>34914.276506999995</v>
      </c>
      <c r="M150" s="12">
        <f t="shared" si="7"/>
        <v>3267.5153279999995</v>
      </c>
      <c r="N150" s="9">
        <v>15.417999999999999</v>
      </c>
      <c r="O150" s="9">
        <v>2.7208000000000001</v>
      </c>
      <c r="P150" s="15">
        <v>36.11</v>
      </c>
      <c r="Q150" s="15">
        <v>78.704999999999998</v>
      </c>
      <c r="R150">
        <v>0.23400000000000001</v>
      </c>
      <c r="S150" s="17">
        <v>48560.776225000001</v>
      </c>
      <c r="T150">
        <v>322.47199999999998</v>
      </c>
      <c r="U150" s="41">
        <f t="shared" si="8"/>
        <v>2351969.202792</v>
      </c>
    </row>
    <row r="151" spans="1:21" x14ac:dyDescent="0.2">
      <c r="A151" s="7" t="s">
        <v>17</v>
      </c>
      <c r="B151" s="7" t="s">
        <v>170</v>
      </c>
      <c r="C151" s="8">
        <v>181265.40087897301</v>
      </c>
      <c r="D151" s="7"/>
      <c r="E151" s="13"/>
      <c r="F151" s="7">
        <v>1691679</v>
      </c>
      <c r="G151" s="7">
        <v>1546415</v>
      </c>
      <c r="H151" s="7">
        <v>2656658</v>
      </c>
      <c r="I151" s="5">
        <v>0</v>
      </c>
      <c r="J151" s="10">
        <v>478.7</v>
      </c>
      <c r="K151" s="11">
        <v>44.8</v>
      </c>
      <c r="L151" s="12">
        <f t="shared" si="6"/>
        <v>12717.421845999999</v>
      </c>
      <c r="M151" s="12">
        <f t="shared" si="7"/>
        <v>1190.1827839999999</v>
      </c>
      <c r="N151" s="9">
        <v>15.417999999999999</v>
      </c>
      <c r="O151" s="9">
        <v>2.7208000000000001</v>
      </c>
      <c r="P151" s="15">
        <v>36.11</v>
      </c>
      <c r="Q151" s="15">
        <v>78.704999999999998</v>
      </c>
      <c r="R151">
        <v>0.23400000000000001</v>
      </c>
      <c r="S151" s="17">
        <v>48560.776225000001</v>
      </c>
      <c r="T151">
        <v>253.04499999999999</v>
      </c>
      <c r="U151" s="41">
        <f t="shared" si="8"/>
        <v>672254.02361000003</v>
      </c>
    </row>
    <row r="152" spans="1:21" x14ac:dyDescent="0.2">
      <c r="A152" s="7" t="s">
        <v>17</v>
      </c>
      <c r="B152" s="7" t="s">
        <v>171</v>
      </c>
      <c r="C152" s="8">
        <v>3409107.2271835799</v>
      </c>
      <c r="D152" s="7">
        <v>1585639</v>
      </c>
      <c r="E152" s="7">
        <v>2003887</v>
      </c>
      <c r="F152" s="7">
        <v>4623802</v>
      </c>
      <c r="G152" s="7">
        <v>3013425</v>
      </c>
      <c r="H152" s="7">
        <v>6580584</v>
      </c>
      <c r="I152" s="2">
        <v>8.9263043</v>
      </c>
      <c r="J152" s="10">
        <v>478.7</v>
      </c>
      <c r="K152" s="11">
        <v>44.8</v>
      </c>
      <c r="L152" s="12">
        <f t="shared" si="6"/>
        <v>31501.255607999996</v>
      </c>
      <c r="M152" s="12">
        <f t="shared" si="7"/>
        <v>2948.1016319999999</v>
      </c>
      <c r="N152" s="9">
        <v>15.417999999999999</v>
      </c>
      <c r="O152" s="9">
        <v>2.7208000000000001</v>
      </c>
      <c r="P152" s="15">
        <v>36.11</v>
      </c>
      <c r="Q152" s="15">
        <v>78.704999999999998</v>
      </c>
      <c r="R152">
        <v>0.23400000000000001</v>
      </c>
      <c r="S152" s="17">
        <v>48560.776225000001</v>
      </c>
      <c r="T152">
        <v>293.00900000000001</v>
      </c>
      <c r="U152" s="41">
        <f t="shared" si="8"/>
        <v>1928170.3372560001</v>
      </c>
    </row>
    <row r="153" spans="1:21" x14ac:dyDescent="0.2">
      <c r="A153" s="7" t="s">
        <v>17</v>
      </c>
      <c r="B153" s="7" t="s">
        <v>172</v>
      </c>
      <c r="C153" s="8">
        <v>1159592.3195271799</v>
      </c>
      <c r="D153" s="7">
        <v>388376</v>
      </c>
      <c r="E153" s="7">
        <v>513474</v>
      </c>
      <c r="F153" s="7">
        <v>2313685</v>
      </c>
      <c r="G153" s="7">
        <v>2053697</v>
      </c>
      <c r="H153" s="7">
        <v>6474445</v>
      </c>
      <c r="I153" s="5">
        <v>0</v>
      </c>
      <c r="J153" s="10">
        <v>478.7</v>
      </c>
      <c r="K153" s="11">
        <v>44.8</v>
      </c>
      <c r="L153" s="12">
        <f t="shared" si="6"/>
        <v>30993.168215000002</v>
      </c>
      <c r="M153" s="12">
        <f t="shared" si="7"/>
        <v>2900.5513599999999</v>
      </c>
      <c r="N153" s="9">
        <v>15.417999999999999</v>
      </c>
      <c r="O153" s="9">
        <v>2.7208000000000001</v>
      </c>
      <c r="P153" s="15">
        <v>36.11</v>
      </c>
      <c r="Q153" s="15">
        <v>78.704999999999998</v>
      </c>
      <c r="R153">
        <v>0.23400000000000001</v>
      </c>
      <c r="S153" s="17">
        <v>48560.776225000001</v>
      </c>
      <c r="T153">
        <v>250.72</v>
      </c>
      <c r="U153" s="41">
        <f t="shared" si="8"/>
        <v>1623272.8504000001</v>
      </c>
    </row>
    <row r="154" spans="1:21" x14ac:dyDescent="0.2">
      <c r="A154" s="7" t="s">
        <v>17</v>
      </c>
      <c r="B154" s="7" t="s">
        <v>173</v>
      </c>
      <c r="C154" s="8">
        <v>688418.13291141496</v>
      </c>
      <c r="D154" s="7">
        <v>2072429</v>
      </c>
      <c r="E154" s="7">
        <v>2709448</v>
      </c>
      <c r="F154" s="7">
        <v>0</v>
      </c>
      <c r="G154" s="7">
        <v>8777</v>
      </c>
      <c r="H154" s="7">
        <v>4505806</v>
      </c>
      <c r="I154" s="2">
        <v>21.0227778</v>
      </c>
      <c r="J154" s="10">
        <v>478.7</v>
      </c>
      <c r="K154" s="11">
        <v>44.8</v>
      </c>
      <c r="L154" s="12">
        <f t="shared" si="6"/>
        <v>21569.293321999998</v>
      </c>
      <c r="M154" s="12">
        <f t="shared" si="7"/>
        <v>2018.6010879999999</v>
      </c>
      <c r="N154" s="9">
        <v>15.417999999999999</v>
      </c>
      <c r="O154" s="9">
        <v>2.7208000000000001</v>
      </c>
      <c r="P154" s="15">
        <v>36.11</v>
      </c>
      <c r="Q154" s="15">
        <v>78.704999999999998</v>
      </c>
      <c r="R154">
        <v>0.23400000000000001</v>
      </c>
      <c r="S154" s="17">
        <v>48560.776225000001</v>
      </c>
      <c r="T154">
        <v>283.31299999999999</v>
      </c>
      <c r="U154" s="41">
        <f t="shared" si="8"/>
        <v>1276553.4152779998</v>
      </c>
    </row>
    <row r="155" spans="1:21" x14ac:dyDescent="0.2">
      <c r="A155" s="7" t="s">
        <v>17</v>
      </c>
      <c r="B155" s="7" t="s">
        <v>174</v>
      </c>
      <c r="C155" s="8">
        <v>927257.35439016402</v>
      </c>
      <c r="D155" s="7"/>
      <c r="E155" s="13"/>
      <c r="F155" s="7">
        <v>0</v>
      </c>
      <c r="G155" s="7">
        <v>49589</v>
      </c>
      <c r="H155" s="7">
        <v>6392096</v>
      </c>
      <c r="I155" s="2">
        <v>2.6827999999999999</v>
      </c>
      <c r="J155" s="10">
        <v>478.7</v>
      </c>
      <c r="K155" s="11">
        <v>44.8</v>
      </c>
      <c r="L155" s="12">
        <f t="shared" si="6"/>
        <v>30598.963551999997</v>
      </c>
      <c r="M155" s="12">
        <f t="shared" si="7"/>
        <v>2863.6590079999996</v>
      </c>
      <c r="N155" s="9">
        <v>15.417999999999999</v>
      </c>
      <c r="O155" s="9">
        <v>2.7208000000000001</v>
      </c>
      <c r="P155" s="15">
        <v>36.11</v>
      </c>
      <c r="Q155" s="15">
        <v>78.704999999999998</v>
      </c>
      <c r="R155">
        <v>0.23400000000000001</v>
      </c>
      <c r="S155" s="17">
        <v>48560.776225000001</v>
      </c>
      <c r="T155">
        <v>211.37</v>
      </c>
      <c r="U155" s="41">
        <f t="shared" si="8"/>
        <v>1351097.33152</v>
      </c>
    </row>
    <row r="156" spans="1:21" x14ac:dyDescent="0.2">
      <c r="A156" s="7" t="s">
        <v>17</v>
      </c>
      <c r="B156" s="7" t="s">
        <v>175</v>
      </c>
      <c r="C156" s="8">
        <v>1012586.74585111</v>
      </c>
      <c r="D156" s="7">
        <v>2012761</v>
      </c>
      <c r="E156" s="7">
        <v>2446698</v>
      </c>
      <c r="F156" s="13"/>
      <c r="G156" s="13"/>
      <c r="H156" s="7">
        <v>3389920</v>
      </c>
      <c r="I156" s="2">
        <v>19.3957692</v>
      </c>
      <c r="J156" s="10">
        <v>478.7</v>
      </c>
      <c r="K156" s="11">
        <v>44.8</v>
      </c>
      <c r="L156" s="12">
        <f t="shared" si="6"/>
        <v>16227.547039999999</v>
      </c>
      <c r="M156" s="12">
        <f t="shared" si="7"/>
        <v>1518.68416</v>
      </c>
      <c r="N156" s="9">
        <v>15.417999999999999</v>
      </c>
      <c r="O156" s="9">
        <v>2.7208000000000001</v>
      </c>
      <c r="P156" s="15">
        <v>36.11</v>
      </c>
      <c r="Q156" s="15">
        <v>78.704999999999998</v>
      </c>
      <c r="R156">
        <v>0.23400000000000001</v>
      </c>
      <c r="S156" s="17">
        <v>48560.776225000001</v>
      </c>
      <c r="T156">
        <v>276.11</v>
      </c>
      <c r="U156" s="41">
        <f t="shared" si="8"/>
        <v>935990.8112</v>
      </c>
    </row>
    <row r="157" spans="1:21" x14ac:dyDescent="0.2">
      <c r="A157" s="7" t="s">
        <v>17</v>
      </c>
      <c r="B157" s="7" t="s">
        <v>176</v>
      </c>
      <c r="C157" s="8">
        <v>1002311.6607766401</v>
      </c>
      <c r="D157" s="7">
        <v>2468037</v>
      </c>
      <c r="E157" s="7">
        <v>2759686</v>
      </c>
      <c r="F157" s="7">
        <v>688561</v>
      </c>
      <c r="G157" s="7">
        <v>626706</v>
      </c>
      <c r="H157" s="7">
        <v>5019499</v>
      </c>
      <c r="I157" s="2">
        <v>9.2983332999999995</v>
      </c>
      <c r="J157" s="10">
        <v>478.7</v>
      </c>
      <c r="K157" s="11">
        <v>44.8</v>
      </c>
      <c r="L157" s="12">
        <f t="shared" si="6"/>
        <v>24028.341712999998</v>
      </c>
      <c r="M157" s="12">
        <f t="shared" si="7"/>
        <v>2248.7355520000001</v>
      </c>
      <c r="N157" s="9">
        <v>15.417999999999999</v>
      </c>
      <c r="O157" s="9">
        <v>2.7208000000000001</v>
      </c>
      <c r="P157" s="15">
        <v>36.11</v>
      </c>
      <c r="Q157" s="15">
        <v>78.704999999999998</v>
      </c>
      <c r="R157">
        <v>0.23400000000000001</v>
      </c>
      <c r="S157" s="17">
        <v>48560.776225000001</v>
      </c>
      <c r="T157">
        <v>255.88900000000001</v>
      </c>
      <c r="U157" s="41">
        <f t="shared" si="8"/>
        <v>1284434.5796110001</v>
      </c>
    </row>
    <row r="158" spans="1:21" x14ac:dyDescent="0.2">
      <c r="A158" s="7" t="s">
        <v>17</v>
      </c>
      <c r="B158" s="7" t="s">
        <v>177</v>
      </c>
      <c r="C158" s="8">
        <v>449367.90171325201</v>
      </c>
      <c r="D158" s="7">
        <v>1671037</v>
      </c>
      <c r="E158" s="7">
        <v>2067387</v>
      </c>
      <c r="F158" s="7">
        <v>0</v>
      </c>
      <c r="G158" s="7">
        <v>12812</v>
      </c>
      <c r="H158" s="7">
        <v>3717631</v>
      </c>
      <c r="I158" s="2">
        <v>13.647500000000001</v>
      </c>
      <c r="J158" s="10">
        <v>478.7</v>
      </c>
      <c r="K158" s="11">
        <v>44.8</v>
      </c>
      <c r="L158" s="12">
        <f t="shared" si="6"/>
        <v>17796.299597000001</v>
      </c>
      <c r="M158" s="12">
        <f t="shared" si="7"/>
        <v>1665.4986879999999</v>
      </c>
      <c r="N158" s="9">
        <v>15.417999999999999</v>
      </c>
      <c r="O158" s="9">
        <v>2.7208000000000001</v>
      </c>
      <c r="P158" s="15">
        <v>36.11</v>
      </c>
      <c r="Q158" s="15">
        <v>78.704999999999998</v>
      </c>
      <c r="R158">
        <v>0.23400000000000001</v>
      </c>
      <c r="S158" s="17">
        <v>48560.776225000001</v>
      </c>
      <c r="T158">
        <v>270.64</v>
      </c>
      <c r="U158" s="41">
        <f t="shared" si="8"/>
        <v>1006139.6538399999</v>
      </c>
    </row>
    <row r="159" spans="1:21" x14ac:dyDescent="0.2">
      <c r="A159" s="7" t="s">
        <v>17</v>
      </c>
      <c r="B159" s="7" t="s">
        <v>178</v>
      </c>
      <c r="C159" s="8">
        <v>1184046.3585673601</v>
      </c>
      <c r="D159" s="7">
        <v>272757</v>
      </c>
      <c r="E159" s="7">
        <v>336248</v>
      </c>
      <c r="F159" s="13"/>
      <c r="G159" s="13"/>
      <c r="H159" s="7">
        <v>5080273</v>
      </c>
      <c r="I159" s="2">
        <v>9.4276470999999997</v>
      </c>
      <c r="J159" s="10">
        <v>478.7</v>
      </c>
      <c r="K159" s="11">
        <v>44.8</v>
      </c>
      <c r="L159" s="12">
        <f t="shared" si="6"/>
        <v>24319.266851</v>
      </c>
      <c r="M159" s="12">
        <f t="shared" si="7"/>
        <v>2275.9623039999997</v>
      </c>
      <c r="N159" s="9">
        <v>15.417999999999999</v>
      </c>
      <c r="O159" s="9">
        <v>2.7208000000000001</v>
      </c>
      <c r="P159" s="15">
        <v>36.11</v>
      </c>
      <c r="Q159" s="15">
        <v>78.704999999999998</v>
      </c>
      <c r="R159">
        <v>0.23400000000000001</v>
      </c>
      <c r="S159" s="17">
        <v>48560.776225000001</v>
      </c>
      <c r="T159">
        <v>219.096</v>
      </c>
      <c r="U159" s="41">
        <f t="shared" si="8"/>
        <v>1113067.493208</v>
      </c>
    </row>
    <row r="160" spans="1:21" x14ac:dyDescent="0.2">
      <c r="A160" s="7" t="s">
        <v>17</v>
      </c>
      <c r="B160" s="7" t="s">
        <v>179</v>
      </c>
      <c r="C160" s="8">
        <v>2189507.4928609198</v>
      </c>
      <c r="D160" s="7">
        <v>1402645</v>
      </c>
      <c r="E160" s="7">
        <v>1436071</v>
      </c>
      <c r="F160" s="13"/>
      <c r="G160" s="13"/>
      <c r="H160" s="7">
        <v>2191634</v>
      </c>
      <c r="I160" s="2">
        <v>4.3691667000000001</v>
      </c>
      <c r="J160" s="10">
        <v>478.7</v>
      </c>
      <c r="K160" s="11">
        <v>44.8</v>
      </c>
      <c r="L160" s="12">
        <f t="shared" si="6"/>
        <v>10491.351957999999</v>
      </c>
      <c r="M160" s="12">
        <f t="shared" si="7"/>
        <v>981.85203199999989</v>
      </c>
      <c r="N160" s="9">
        <v>15.417999999999999</v>
      </c>
      <c r="O160" s="9">
        <v>2.7208000000000001</v>
      </c>
      <c r="P160" s="15">
        <v>36.11</v>
      </c>
      <c r="Q160" s="15">
        <v>78.704999999999998</v>
      </c>
      <c r="R160">
        <v>0.23400000000000001</v>
      </c>
      <c r="S160" s="17">
        <v>48560.776225000001</v>
      </c>
      <c r="T160">
        <v>251.672</v>
      </c>
      <c r="U160" s="41">
        <f t="shared" si="8"/>
        <v>551572.91204800003</v>
      </c>
    </row>
    <row r="161" spans="1:21" x14ac:dyDescent="0.2">
      <c r="A161" s="7" t="s">
        <v>17</v>
      </c>
      <c r="B161" s="7" t="s">
        <v>180</v>
      </c>
      <c r="C161" s="8">
        <v>1837427.54167875</v>
      </c>
      <c r="D161" s="7"/>
      <c r="E161" s="13"/>
      <c r="F161" s="7">
        <v>479016</v>
      </c>
      <c r="G161" s="7">
        <v>475642</v>
      </c>
      <c r="H161" s="7">
        <v>6782406</v>
      </c>
      <c r="I161" s="2">
        <v>0.29796299999999998</v>
      </c>
      <c r="J161" s="10">
        <v>478.7</v>
      </c>
      <c r="K161" s="11">
        <v>44.8</v>
      </c>
      <c r="L161" s="12">
        <f t="shared" si="6"/>
        <v>32467.377521999999</v>
      </c>
      <c r="M161" s="12">
        <f t="shared" si="7"/>
        <v>3038.5178879999994</v>
      </c>
      <c r="N161" s="9">
        <v>15.417999999999999</v>
      </c>
      <c r="O161" s="9">
        <v>2.7208000000000001</v>
      </c>
      <c r="P161" s="15">
        <v>36.11</v>
      </c>
      <c r="Q161" s="15">
        <v>78.704999999999998</v>
      </c>
      <c r="R161">
        <v>0.23400000000000001</v>
      </c>
      <c r="S161" s="17">
        <v>48560.776225000001</v>
      </c>
      <c r="T161">
        <v>314.96100000000001</v>
      </c>
      <c r="U161" s="41">
        <f t="shared" si="8"/>
        <v>2136193.376166</v>
      </c>
    </row>
    <row r="162" spans="1:21" x14ac:dyDescent="0.2">
      <c r="A162" s="7" t="s">
        <v>17</v>
      </c>
      <c r="B162" s="7" t="s">
        <v>181</v>
      </c>
      <c r="C162" s="8">
        <v>3471836.2102615498</v>
      </c>
      <c r="D162" s="7">
        <v>1037067</v>
      </c>
      <c r="E162" s="7">
        <v>1536671</v>
      </c>
      <c r="F162" s="7">
        <v>1263257</v>
      </c>
      <c r="G162" s="7">
        <v>1260260</v>
      </c>
      <c r="H162" s="7">
        <v>9461766</v>
      </c>
      <c r="I162" s="2">
        <v>0.9215217</v>
      </c>
      <c r="J162" s="10">
        <v>478.7</v>
      </c>
      <c r="K162" s="11">
        <v>44.8</v>
      </c>
      <c r="L162" s="12">
        <f t="shared" si="6"/>
        <v>45293.473841999999</v>
      </c>
      <c r="M162" s="12">
        <f t="shared" si="7"/>
        <v>4238.8711679999997</v>
      </c>
      <c r="N162" s="9">
        <v>15.417999999999999</v>
      </c>
      <c r="O162" s="9">
        <v>2.7208000000000001</v>
      </c>
      <c r="P162" s="15">
        <v>36.11</v>
      </c>
      <c r="Q162" s="15">
        <v>78.704999999999998</v>
      </c>
      <c r="R162">
        <v>0.23400000000000001</v>
      </c>
      <c r="S162" s="17">
        <v>48560.776225000001</v>
      </c>
      <c r="T162">
        <v>306.46499999999997</v>
      </c>
      <c r="U162" s="41">
        <f t="shared" si="8"/>
        <v>2899700.1171899997</v>
      </c>
    </row>
    <row r="163" spans="1:21" x14ac:dyDescent="0.2">
      <c r="A163" s="7" t="s">
        <v>17</v>
      </c>
      <c r="B163" s="7" t="s">
        <v>182</v>
      </c>
      <c r="C163" s="8">
        <v>5015435.8773208596</v>
      </c>
      <c r="D163" s="7">
        <v>3444769</v>
      </c>
      <c r="E163" s="7">
        <v>4246404</v>
      </c>
      <c r="F163" s="7">
        <v>1372453</v>
      </c>
      <c r="G163" s="7">
        <v>1126636</v>
      </c>
      <c r="H163" s="7">
        <v>14635342</v>
      </c>
      <c r="I163" s="2">
        <v>0.2002273</v>
      </c>
      <c r="J163" s="10">
        <v>478.7</v>
      </c>
      <c r="K163" s="11">
        <v>44.8</v>
      </c>
      <c r="L163" s="12">
        <f t="shared" si="6"/>
        <v>70059.382153999992</v>
      </c>
      <c r="M163" s="12">
        <f t="shared" si="7"/>
        <v>6556.6332159999993</v>
      </c>
      <c r="N163" s="9">
        <v>15.417999999999999</v>
      </c>
      <c r="O163" s="9">
        <v>2.7208000000000001</v>
      </c>
      <c r="P163" s="15">
        <v>36.11</v>
      </c>
      <c r="Q163" s="15">
        <v>78.704999999999998</v>
      </c>
      <c r="R163">
        <v>0.23400000000000001</v>
      </c>
      <c r="S163" s="17">
        <v>48560.776225000001</v>
      </c>
      <c r="T163">
        <v>270.74299999999999</v>
      </c>
      <c r="U163" s="41">
        <f t="shared" si="8"/>
        <v>3962416.3991060001</v>
      </c>
    </row>
    <row r="164" spans="1:21" x14ac:dyDescent="0.2">
      <c r="A164" s="7" t="s">
        <v>17</v>
      </c>
      <c r="B164" s="7" t="s">
        <v>183</v>
      </c>
      <c r="C164" s="8">
        <v>3627277.41290311</v>
      </c>
      <c r="D164" s="7"/>
      <c r="E164" s="13"/>
      <c r="F164" s="7">
        <v>1271319</v>
      </c>
      <c r="G164" s="7">
        <v>1270877</v>
      </c>
      <c r="H164" s="7">
        <v>9034442</v>
      </c>
      <c r="I164" s="2">
        <v>0.35514709999999999</v>
      </c>
      <c r="J164" s="10">
        <v>478.7</v>
      </c>
      <c r="K164" s="11">
        <v>44.8</v>
      </c>
      <c r="L164" s="12">
        <f t="shared" si="6"/>
        <v>43247.873853999998</v>
      </c>
      <c r="M164" s="12">
        <f t="shared" si="7"/>
        <v>4047.4300159999998</v>
      </c>
      <c r="N164" s="9">
        <v>15.417999999999999</v>
      </c>
      <c r="O164" s="9">
        <v>2.7208000000000001</v>
      </c>
      <c r="P164" s="15">
        <v>36.11</v>
      </c>
      <c r="Q164" s="15">
        <v>78.704999999999998</v>
      </c>
      <c r="R164">
        <v>0.23400000000000001</v>
      </c>
      <c r="S164" s="17">
        <v>48560.776225000001</v>
      </c>
      <c r="T164">
        <v>340.37400000000002</v>
      </c>
      <c r="U164" s="41">
        <f t="shared" si="8"/>
        <v>3075089.1613079999</v>
      </c>
    </row>
    <row r="165" spans="1:21" x14ac:dyDescent="0.2">
      <c r="A165" s="7" t="s">
        <v>17</v>
      </c>
      <c r="B165" s="7" t="s">
        <v>184</v>
      </c>
      <c r="C165" s="8">
        <v>1878598.56285763</v>
      </c>
      <c r="D165" s="7"/>
      <c r="E165" s="13"/>
      <c r="F165" s="7">
        <v>598372</v>
      </c>
      <c r="G165" s="7">
        <v>587712</v>
      </c>
      <c r="H165" s="7">
        <v>5051155</v>
      </c>
      <c r="I165" s="2">
        <v>0.1504762</v>
      </c>
      <c r="J165" s="10">
        <v>478.7</v>
      </c>
      <c r="K165" s="11">
        <v>44.8</v>
      </c>
      <c r="L165" s="12">
        <f t="shared" si="6"/>
        <v>24179.878984999999</v>
      </c>
      <c r="M165" s="12">
        <f t="shared" si="7"/>
        <v>2262.9174400000002</v>
      </c>
      <c r="N165" s="9">
        <v>15.417999999999999</v>
      </c>
      <c r="O165" s="9">
        <v>2.7208000000000001</v>
      </c>
      <c r="P165" s="15">
        <v>36.11</v>
      </c>
      <c r="Q165" s="15">
        <v>78.704999999999998</v>
      </c>
      <c r="R165">
        <v>0.23400000000000001</v>
      </c>
      <c r="S165" s="17">
        <v>48560.776225000001</v>
      </c>
      <c r="T165">
        <v>359.17200000000003</v>
      </c>
      <c r="U165" s="41">
        <f t="shared" si="8"/>
        <v>1814233.4436600001</v>
      </c>
    </row>
    <row r="166" spans="1:21" x14ac:dyDescent="0.2">
      <c r="A166" s="7" t="s">
        <v>17</v>
      </c>
      <c r="B166" s="7" t="s">
        <v>185</v>
      </c>
      <c r="C166" s="8">
        <v>778907.44366244297</v>
      </c>
      <c r="D166" s="7"/>
      <c r="E166" s="13"/>
      <c r="F166" s="7">
        <v>643229</v>
      </c>
      <c r="G166" s="7">
        <v>645525</v>
      </c>
      <c r="H166" s="7">
        <v>5113319</v>
      </c>
      <c r="I166" s="2">
        <v>3.7685713999999999</v>
      </c>
      <c r="J166" s="10">
        <v>478.7</v>
      </c>
      <c r="K166" s="11">
        <v>44.8</v>
      </c>
      <c r="L166" s="12">
        <f t="shared" si="6"/>
        <v>24477.458052999998</v>
      </c>
      <c r="M166" s="12">
        <f t="shared" si="7"/>
        <v>2290.766912</v>
      </c>
      <c r="N166" s="9">
        <v>15.417999999999999</v>
      </c>
      <c r="O166" s="9">
        <v>2.7208000000000001</v>
      </c>
      <c r="P166" s="15">
        <v>36.11</v>
      </c>
      <c r="Q166" s="15">
        <v>78.704999999999998</v>
      </c>
      <c r="R166">
        <v>0.23400000000000001</v>
      </c>
      <c r="S166" s="17">
        <v>48560.776225000001</v>
      </c>
      <c r="T166">
        <v>255.172</v>
      </c>
      <c r="U166" s="41">
        <f t="shared" si="8"/>
        <v>1304775.8358680001</v>
      </c>
    </row>
    <row r="167" spans="1:21" x14ac:dyDescent="0.2">
      <c r="A167" s="7" t="s">
        <v>17</v>
      </c>
      <c r="B167" s="7" t="s">
        <v>186</v>
      </c>
      <c r="C167" s="8">
        <v>807434.84419789002</v>
      </c>
      <c r="D167" s="7"/>
      <c r="E167" s="13"/>
      <c r="F167" s="7">
        <v>157757</v>
      </c>
      <c r="G167" s="7">
        <v>157758</v>
      </c>
      <c r="H167" s="7">
        <v>3698091</v>
      </c>
      <c r="I167" s="2">
        <v>6.5343749999999998</v>
      </c>
      <c r="J167" s="10">
        <v>478.7</v>
      </c>
      <c r="K167" s="11">
        <v>44.8</v>
      </c>
      <c r="L167" s="12">
        <f t="shared" si="6"/>
        <v>17702.761617</v>
      </c>
      <c r="M167" s="12">
        <f t="shared" si="7"/>
        <v>1656.7447679999998</v>
      </c>
      <c r="N167" s="9">
        <v>15.417999999999999</v>
      </c>
      <c r="O167" s="9">
        <v>2.7208000000000001</v>
      </c>
      <c r="P167" s="15">
        <v>36.11</v>
      </c>
      <c r="Q167" s="15">
        <v>78.704999999999998</v>
      </c>
      <c r="R167">
        <v>0.23400000000000001</v>
      </c>
      <c r="S167" s="17">
        <v>48560.776225000001</v>
      </c>
      <c r="T167">
        <v>247.16900000000001</v>
      </c>
      <c r="U167" s="41">
        <f t="shared" si="8"/>
        <v>914053.45437900012</v>
      </c>
    </row>
    <row r="168" spans="1:21" x14ac:dyDescent="0.2">
      <c r="A168" s="7" t="s">
        <v>17</v>
      </c>
      <c r="B168" s="7" t="s">
        <v>187</v>
      </c>
      <c r="C168" s="8">
        <v>736208.32210146403</v>
      </c>
      <c r="D168" s="7"/>
      <c r="E168" s="13"/>
      <c r="F168" s="7">
        <v>4051727</v>
      </c>
      <c r="G168" s="7">
        <v>3920248</v>
      </c>
      <c r="H168" s="7">
        <v>14058036</v>
      </c>
      <c r="I168" s="2">
        <v>10.994249999999999</v>
      </c>
      <c r="J168" s="10">
        <v>478.7</v>
      </c>
      <c r="K168" s="11">
        <v>44.8</v>
      </c>
      <c r="L168" s="12">
        <f t="shared" si="6"/>
        <v>67295.818331999995</v>
      </c>
      <c r="M168" s="12">
        <f t="shared" si="7"/>
        <v>6298.0001279999997</v>
      </c>
      <c r="N168" s="9">
        <v>15.417999999999999</v>
      </c>
      <c r="O168" s="9">
        <v>2.7208000000000001</v>
      </c>
      <c r="P168" s="15">
        <v>36.11</v>
      </c>
      <c r="Q168" s="15">
        <v>78.704999999999998</v>
      </c>
      <c r="R168">
        <v>0.23400000000000001</v>
      </c>
      <c r="S168" s="17">
        <v>48560.776225000001</v>
      </c>
      <c r="T168">
        <v>133.53100000000001</v>
      </c>
      <c r="U168" s="41">
        <f t="shared" si="8"/>
        <v>1877183.6051160002</v>
      </c>
    </row>
    <row r="169" spans="1:21" x14ac:dyDescent="0.2">
      <c r="A169" s="7" t="s">
        <v>17</v>
      </c>
      <c r="B169" s="7" t="s">
        <v>188</v>
      </c>
      <c r="C169" s="8">
        <v>4519284.32637701</v>
      </c>
      <c r="D169" s="7">
        <v>2799008</v>
      </c>
      <c r="E169" s="7">
        <v>3389906</v>
      </c>
      <c r="F169" s="7">
        <v>221422</v>
      </c>
      <c r="G169" s="7">
        <v>230353</v>
      </c>
      <c r="H169" s="7">
        <v>6161044</v>
      </c>
      <c r="I169" s="2">
        <v>2.532</v>
      </c>
      <c r="J169" s="10">
        <v>478.7</v>
      </c>
      <c r="K169" s="11">
        <v>44.8</v>
      </c>
      <c r="L169" s="12">
        <f t="shared" si="6"/>
        <v>29492.917627999996</v>
      </c>
      <c r="M169" s="12">
        <f t="shared" si="7"/>
        <v>2760.147712</v>
      </c>
      <c r="N169" s="9">
        <v>15.417999999999999</v>
      </c>
      <c r="O169" s="9">
        <v>2.7208000000000001</v>
      </c>
      <c r="P169" s="15">
        <v>36.11</v>
      </c>
      <c r="Q169" s="15">
        <v>78.704999999999998</v>
      </c>
      <c r="R169">
        <v>0.23400000000000001</v>
      </c>
      <c r="S169" s="17">
        <v>48560.776225000001</v>
      </c>
      <c r="T169">
        <v>330.25</v>
      </c>
      <c r="U169" s="41">
        <f t="shared" si="8"/>
        <v>2034684.781</v>
      </c>
    </row>
    <row r="170" spans="1:21" x14ac:dyDescent="0.2">
      <c r="A170" s="7" t="s">
        <v>17</v>
      </c>
      <c r="B170" s="7" t="s">
        <v>189</v>
      </c>
      <c r="C170" s="8">
        <v>3559266.4997878899</v>
      </c>
      <c r="D170" s="7">
        <v>1057265</v>
      </c>
      <c r="E170" s="7">
        <v>1438107</v>
      </c>
      <c r="F170" s="7">
        <v>3181917</v>
      </c>
      <c r="G170" s="7">
        <v>3095053</v>
      </c>
      <c r="H170" s="7">
        <v>5814563</v>
      </c>
      <c r="I170" s="39">
        <v>10.978</v>
      </c>
      <c r="J170" s="10">
        <v>478.7</v>
      </c>
      <c r="K170" s="11">
        <v>44.8</v>
      </c>
      <c r="L170" s="12">
        <f t="shared" si="6"/>
        <v>27834.313081</v>
      </c>
      <c r="M170" s="12">
        <f t="shared" si="7"/>
        <v>2604.9242239999999</v>
      </c>
      <c r="N170" s="9">
        <v>15.417999999999999</v>
      </c>
      <c r="O170" s="9">
        <v>2.7208000000000001</v>
      </c>
      <c r="P170" s="15">
        <v>36.11</v>
      </c>
      <c r="Q170" s="15">
        <v>78.704999999999998</v>
      </c>
      <c r="R170">
        <v>0.23400000000000001</v>
      </c>
      <c r="S170" s="17">
        <v>48560.776225000001</v>
      </c>
      <c r="T170">
        <v>225.56399999999999</v>
      </c>
      <c r="U170" s="41">
        <f t="shared" si="8"/>
        <v>1311556.0885320001</v>
      </c>
    </row>
    <row r="171" spans="1:21" x14ac:dyDescent="0.2">
      <c r="A171" s="7" t="s">
        <v>17</v>
      </c>
      <c r="B171" s="7" t="s">
        <v>190</v>
      </c>
      <c r="C171" s="8">
        <v>1106114.05321152</v>
      </c>
      <c r="D171" s="7">
        <v>1353251</v>
      </c>
      <c r="E171" s="7">
        <v>1345656</v>
      </c>
      <c r="F171" s="13"/>
      <c r="G171" s="13"/>
      <c r="H171" s="7">
        <v>5366823</v>
      </c>
      <c r="I171" s="2">
        <v>14.9441667</v>
      </c>
      <c r="J171" s="10">
        <v>478.7</v>
      </c>
      <c r="K171" s="11">
        <v>44.8</v>
      </c>
      <c r="L171" s="12">
        <f t="shared" si="6"/>
        <v>25690.981701000001</v>
      </c>
      <c r="M171" s="12">
        <f t="shared" si="7"/>
        <v>2404.3367039999998</v>
      </c>
      <c r="N171" s="9">
        <v>15.417999999999999</v>
      </c>
      <c r="O171" s="9">
        <v>2.7208000000000001</v>
      </c>
      <c r="P171" s="15">
        <v>36.11</v>
      </c>
      <c r="Q171" s="15">
        <v>78.704999999999998</v>
      </c>
      <c r="R171">
        <v>0.23400000000000001</v>
      </c>
      <c r="S171" s="17">
        <v>48560.776225000001</v>
      </c>
      <c r="T171">
        <v>283.53500000000003</v>
      </c>
      <c r="U171" s="41">
        <f t="shared" si="8"/>
        <v>1521682.159305</v>
      </c>
    </row>
    <row r="172" spans="1:21" x14ac:dyDescent="0.2">
      <c r="A172" s="7" t="s">
        <v>17</v>
      </c>
      <c r="B172" s="7" t="s">
        <v>191</v>
      </c>
      <c r="C172" s="8">
        <v>1170704.5038411201</v>
      </c>
      <c r="D172" s="7">
        <v>624586</v>
      </c>
      <c r="E172" s="7">
        <v>763215</v>
      </c>
      <c r="F172" s="13"/>
      <c r="G172" s="13"/>
      <c r="H172" s="7">
        <v>5339548</v>
      </c>
      <c r="I172" s="2">
        <v>15.8195</v>
      </c>
      <c r="J172" s="10">
        <v>478.7</v>
      </c>
      <c r="K172" s="11">
        <v>44.8</v>
      </c>
      <c r="L172" s="12">
        <f t="shared" si="6"/>
        <v>25560.416276</v>
      </c>
      <c r="M172" s="12">
        <f t="shared" si="7"/>
        <v>2392.1175039999998</v>
      </c>
      <c r="N172" s="9">
        <v>15.417999999999999</v>
      </c>
      <c r="O172" s="9">
        <v>2.7208000000000001</v>
      </c>
      <c r="P172" s="15">
        <v>36.11</v>
      </c>
      <c r="Q172" s="15">
        <v>78.704999999999998</v>
      </c>
      <c r="R172">
        <v>0.23400000000000001</v>
      </c>
      <c r="S172" s="17">
        <v>48560.776225000001</v>
      </c>
      <c r="T172">
        <v>247.50899999999999</v>
      </c>
      <c r="U172" s="41">
        <f t="shared" si="8"/>
        <v>1321586.1859319999</v>
      </c>
    </row>
    <row r="173" spans="1:21" x14ac:dyDescent="0.2">
      <c r="A173" s="7" t="s">
        <v>17</v>
      </c>
      <c r="B173" s="7" t="s">
        <v>192</v>
      </c>
      <c r="C173" s="8">
        <v>1492955.2308775</v>
      </c>
      <c r="D173" s="7">
        <v>3605310</v>
      </c>
      <c r="E173" s="7">
        <v>4031488</v>
      </c>
      <c r="F173" s="7">
        <v>1947489</v>
      </c>
      <c r="G173" s="7">
        <v>1717396</v>
      </c>
      <c r="H173" s="7">
        <v>8720969</v>
      </c>
      <c r="I173" s="2">
        <v>10.117272699999999</v>
      </c>
      <c r="J173" s="10">
        <v>478.7</v>
      </c>
      <c r="K173" s="11">
        <v>44.8</v>
      </c>
      <c r="L173" s="12">
        <f t="shared" si="6"/>
        <v>41747.278602999999</v>
      </c>
      <c r="M173" s="12">
        <f t="shared" si="7"/>
        <v>3906.9941119999999</v>
      </c>
      <c r="N173" s="9">
        <v>15.417999999999999</v>
      </c>
      <c r="O173" s="9">
        <v>2.7208000000000001</v>
      </c>
      <c r="P173" s="15">
        <v>36.11</v>
      </c>
      <c r="Q173" s="15">
        <v>78.704999999999998</v>
      </c>
      <c r="R173">
        <v>0.23400000000000001</v>
      </c>
      <c r="S173" s="17">
        <v>48560.776225000001</v>
      </c>
      <c r="T173">
        <v>251.47</v>
      </c>
      <c r="U173" s="41">
        <f t="shared" si="8"/>
        <v>2193062.07443</v>
      </c>
    </row>
    <row r="174" spans="1:21" x14ac:dyDescent="0.2">
      <c r="A174" s="7" t="s">
        <v>17</v>
      </c>
      <c r="B174" s="7" t="s">
        <v>193</v>
      </c>
      <c r="C174" s="8">
        <v>961881.60463002999</v>
      </c>
      <c r="D174" s="7"/>
      <c r="E174" s="13"/>
      <c r="F174" s="7">
        <v>3120538</v>
      </c>
      <c r="G174" s="7">
        <v>3113884</v>
      </c>
      <c r="H174" s="7">
        <v>8087455</v>
      </c>
      <c r="I174" s="2">
        <v>13.123913</v>
      </c>
      <c r="J174" s="10">
        <v>478.7</v>
      </c>
      <c r="K174" s="11">
        <v>44.8</v>
      </c>
      <c r="L174" s="12">
        <f t="shared" si="6"/>
        <v>38714.647084999997</v>
      </c>
      <c r="M174" s="12">
        <f t="shared" si="7"/>
        <v>3623.1798399999998</v>
      </c>
      <c r="N174" s="9">
        <v>15.417999999999999</v>
      </c>
      <c r="O174" s="9">
        <v>2.7208000000000001</v>
      </c>
      <c r="P174" s="15">
        <v>36.11</v>
      </c>
      <c r="Q174" s="15">
        <v>78.704999999999998</v>
      </c>
      <c r="R174">
        <v>0.23400000000000001</v>
      </c>
      <c r="S174" s="17">
        <v>48560.776225000001</v>
      </c>
      <c r="T174">
        <v>243.56399999999999</v>
      </c>
      <c r="U174" s="41">
        <f t="shared" si="8"/>
        <v>1969812.8896199998</v>
      </c>
    </row>
    <row r="175" spans="1:21" x14ac:dyDescent="0.2">
      <c r="A175" s="7" t="s">
        <v>17</v>
      </c>
      <c r="B175" s="7" t="s">
        <v>194</v>
      </c>
      <c r="C175" s="8">
        <v>2510661.7850357201</v>
      </c>
      <c r="D175" s="7"/>
      <c r="E175" s="13"/>
      <c r="F175" s="7">
        <v>617598</v>
      </c>
      <c r="G175" s="7">
        <v>664803</v>
      </c>
      <c r="H175" s="7">
        <v>5766060</v>
      </c>
      <c r="I175" s="5">
        <v>0</v>
      </c>
      <c r="J175" s="10">
        <v>478.7</v>
      </c>
      <c r="K175" s="11">
        <v>44.8</v>
      </c>
      <c r="L175" s="12">
        <f t="shared" si="6"/>
        <v>27602.129219999999</v>
      </c>
      <c r="M175" s="12">
        <f t="shared" si="7"/>
        <v>2583.1948799999996</v>
      </c>
      <c r="N175" s="9">
        <v>15.417999999999999</v>
      </c>
      <c r="O175" s="9">
        <v>2.7208000000000001</v>
      </c>
      <c r="P175" s="15">
        <v>36.11</v>
      </c>
      <c r="Q175" s="15">
        <v>78.704999999999998</v>
      </c>
      <c r="R175">
        <v>0.23400000000000001</v>
      </c>
      <c r="S175" s="17">
        <v>48560.776225000001</v>
      </c>
      <c r="T175">
        <v>318.79399999999998</v>
      </c>
      <c r="U175" s="41">
        <f t="shared" si="8"/>
        <v>1838185.3316399998</v>
      </c>
    </row>
    <row r="176" spans="1:21" x14ac:dyDescent="0.2">
      <c r="A176" s="7" t="s">
        <v>17</v>
      </c>
      <c r="B176" s="7" t="s">
        <v>195</v>
      </c>
      <c r="C176" s="8">
        <v>1674827.24056949</v>
      </c>
      <c r="D176" s="7"/>
      <c r="E176" s="13"/>
      <c r="F176" s="7">
        <v>1652649</v>
      </c>
      <c r="G176" s="7">
        <v>1604869</v>
      </c>
      <c r="H176" s="7">
        <v>5084247</v>
      </c>
      <c r="I176" s="5">
        <v>0</v>
      </c>
      <c r="J176" s="10">
        <v>478.7</v>
      </c>
      <c r="K176" s="11">
        <v>44.8</v>
      </c>
      <c r="L176" s="12">
        <f t="shared" si="6"/>
        <v>24338.290389000002</v>
      </c>
      <c r="M176" s="12">
        <f t="shared" si="7"/>
        <v>2277.7426559999999</v>
      </c>
      <c r="N176" s="9">
        <v>15.417999999999999</v>
      </c>
      <c r="O176" s="9">
        <v>2.7208000000000001</v>
      </c>
      <c r="P176" s="15">
        <v>36.11</v>
      </c>
      <c r="Q176" s="15">
        <v>78.704999999999998</v>
      </c>
      <c r="R176">
        <v>0.23400000000000001</v>
      </c>
      <c r="S176" s="17">
        <v>48560.776225000001</v>
      </c>
      <c r="T176">
        <v>413.62</v>
      </c>
      <c r="U176" s="41">
        <f t="shared" si="8"/>
        <v>2102946.2441400001</v>
      </c>
    </row>
    <row r="177" spans="1:21" x14ac:dyDescent="0.2">
      <c r="A177" s="7" t="s">
        <v>18</v>
      </c>
      <c r="B177" s="7" t="s">
        <v>119</v>
      </c>
      <c r="C177" s="8">
        <v>554111.36607470701</v>
      </c>
      <c r="D177" s="7">
        <v>109974</v>
      </c>
      <c r="E177" s="7">
        <v>74900</v>
      </c>
      <c r="F177" s="13"/>
      <c r="G177" s="13"/>
      <c r="H177" s="7">
        <v>2295446</v>
      </c>
      <c r="I177" s="9">
        <v>0</v>
      </c>
      <c r="J177" s="10">
        <v>0</v>
      </c>
      <c r="K177" s="11">
        <v>618</v>
      </c>
      <c r="L177" s="12">
        <f t="shared" si="6"/>
        <v>0</v>
      </c>
      <c r="M177" s="12">
        <f t="shared" si="7"/>
        <v>14185.85628</v>
      </c>
      <c r="N177" s="9">
        <v>4.6407999999999996</v>
      </c>
      <c r="O177" s="9">
        <v>1.0491999999999999</v>
      </c>
      <c r="P177" s="15">
        <v>28.5</v>
      </c>
      <c r="Q177" s="15">
        <v>36.034999999999997</v>
      </c>
      <c r="R177">
        <v>0.31</v>
      </c>
      <c r="S177" s="17">
        <v>925933.77174999996</v>
      </c>
      <c r="T177">
        <v>316.45499999999998</v>
      </c>
      <c r="U177" s="41">
        <f t="shared" si="8"/>
        <v>726405.36392999999</v>
      </c>
    </row>
    <row r="178" spans="1:21" x14ac:dyDescent="0.2">
      <c r="A178" s="7" t="s">
        <v>18</v>
      </c>
      <c r="B178" s="7" t="s">
        <v>122</v>
      </c>
      <c r="C178" s="8">
        <v>419768.166973049</v>
      </c>
      <c r="D178" s="7">
        <v>249319</v>
      </c>
      <c r="E178" s="7">
        <v>203799</v>
      </c>
      <c r="F178" s="13"/>
      <c r="G178" s="9"/>
      <c r="H178" s="7">
        <v>3457866</v>
      </c>
      <c r="I178" s="9">
        <v>0</v>
      </c>
      <c r="J178" s="10">
        <v>0</v>
      </c>
      <c r="K178" s="11">
        <v>618</v>
      </c>
      <c r="L178" s="12">
        <f t="shared" si="6"/>
        <v>0</v>
      </c>
      <c r="M178" s="12">
        <f t="shared" si="7"/>
        <v>21369.61188</v>
      </c>
      <c r="N178" s="9">
        <v>4.6407999999999996</v>
      </c>
      <c r="O178" s="9">
        <v>1.0491999999999999</v>
      </c>
      <c r="P178" s="15">
        <v>28.5</v>
      </c>
      <c r="Q178" s="15">
        <v>36.034999999999997</v>
      </c>
      <c r="R178">
        <v>0.31</v>
      </c>
      <c r="S178" s="17">
        <v>925933.77174999996</v>
      </c>
      <c r="T178">
        <v>306.005</v>
      </c>
      <c r="U178" s="41">
        <f t="shared" si="8"/>
        <v>1058124.2853300001</v>
      </c>
    </row>
    <row r="179" spans="1:21" x14ac:dyDescent="0.2">
      <c r="A179" s="7" t="s">
        <v>18</v>
      </c>
      <c r="B179" s="7" t="s">
        <v>196</v>
      </c>
      <c r="C179" s="8">
        <v>528436.875275478</v>
      </c>
      <c r="D179" s="7">
        <v>168670</v>
      </c>
      <c r="E179" s="7">
        <v>135587</v>
      </c>
      <c r="F179" s="13"/>
      <c r="G179" s="9"/>
      <c r="H179" s="7">
        <v>1819799</v>
      </c>
      <c r="I179" s="9">
        <v>0</v>
      </c>
      <c r="J179" s="10">
        <v>0</v>
      </c>
      <c r="K179" s="11">
        <v>618</v>
      </c>
      <c r="L179" s="12">
        <f t="shared" si="6"/>
        <v>0</v>
      </c>
      <c r="M179" s="12">
        <f t="shared" si="7"/>
        <v>11246.357819999999</v>
      </c>
      <c r="N179" s="9">
        <v>4.6407999999999996</v>
      </c>
      <c r="O179" s="9">
        <v>1.0491999999999999</v>
      </c>
      <c r="P179" s="15">
        <v>28.5</v>
      </c>
      <c r="Q179" s="15">
        <v>36.034999999999997</v>
      </c>
      <c r="R179">
        <v>0.31</v>
      </c>
      <c r="S179" s="17">
        <v>925933.77174999996</v>
      </c>
      <c r="T179">
        <v>282.113</v>
      </c>
      <c r="U179" s="41">
        <f t="shared" si="8"/>
        <v>513388.95528699999</v>
      </c>
    </row>
    <row r="180" spans="1:21" x14ac:dyDescent="0.2">
      <c r="A180" s="7" t="s">
        <v>19</v>
      </c>
      <c r="B180" s="7" t="s">
        <v>197</v>
      </c>
      <c r="C180" s="8">
        <v>389981.320286337</v>
      </c>
      <c r="D180" s="7">
        <v>296257</v>
      </c>
      <c r="E180" s="7">
        <v>220499</v>
      </c>
      <c r="F180" s="7">
        <v>1768000</v>
      </c>
      <c r="G180" s="7">
        <v>1534249</v>
      </c>
      <c r="H180" s="7">
        <v>1971633</v>
      </c>
      <c r="I180" s="2">
        <v>12.676666669999999</v>
      </c>
      <c r="J180" s="10">
        <v>483.6</v>
      </c>
      <c r="K180" s="11">
        <v>167.9</v>
      </c>
      <c r="L180" s="12">
        <f t="shared" si="6"/>
        <v>9534.8171880000009</v>
      </c>
      <c r="M180" s="12">
        <f t="shared" si="7"/>
        <v>3310.371807</v>
      </c>
      <c r="N180" s="9">
        <v>16.3675</v>
      </c>
      <c r="O180" s="9">
        <v>2.9169</v>
      </c>
      <c r="P180" s="15">
        <v>28.5</v>
      </c>
      <c r="Q180" s="15">
        <v>36.034999999999997</v>
      </c>
      <c r="R180">
        <v>0.20399999999999999</v>
      </c>
      <c r="S180" s="17">
        <v>451082.59444399999</v>
      </c>
      <c r="T180">
        <v>320.17099999999999</v>
      </c>
      <c r="U180" s="41">
        <f t="shared" si="8"/>
        <v>631259.70924300002</v>
      </c>
    </row>
    <row r="181" spans="1:21" x14ac:dyDescent="0.2">
      <c r="A181" s="7" t="s">
        <v>19</v>
      </c>
      <c r="B181" s="7" t="s">
        <v>198</v>
      </c>
      <c r="C181" s="8">
        <v>1159227.3037612401</v>
      </c>
      <c r="D181" s="7"/>
      <c r="E181" s="13"/>
      <c r="F181" s="7">
        <v>1157778</v>
      </c>
      <c r="G181" s="7">
        <v>1087474</v>
      </c>
      <c r="H181" s="7">
        <v>1781733</v>
      </c>
      <c r="I181" s="2">
        <v>8.2681249999999995</v>
      </c>
      <c r="J181" s="10">
        <v>483.6</v>
      </c>
      <c r="K181" s="11">
        <v>167.9</v>
      </c>
      <c r="L181" s="12">
        <f t="shared" si="6"/>
        <v>8616.4607880000003</v>
      </c>
      <c r="M181" s="12">
        <f t="shared" si="7"/>
        <v>2991.5297069999997</v>
      </c>
      <c r="N181" s="9">
        <v>16.3675</v>
      </c>
      <c r="O181" s="9">
        <v>2.9169</v>
      </c>
      <c r="P181" s="15">
        <v>28.5</v>
      </c>
      <c r="Q181" s="15">
        <v>36.034999999999997</v>
      </c>
      <c r="R181">
        <v>0.20399999999999999</v>
      </c>
      <c r="S181" s="17">
        <v>451082.59444399999</v>
      </c>
      <c r="T181">
        <v>290.26400000000001</v>
      </c>
      <c r="U181" s="41">
        <f t="shared" si="8"/>
        <v>517172.94751200004</v>
      </c>
    </row>
    <row r="182" spans="1:21" x14ac:dyDescent="0.2">
      <c r="A182" s="7" t="s">
        <v>19</v>
      </c>
      <c r="B182" s="7" t="s">
        <v>199</v>
      </c>
      <c r="C182" s="8">
        <v>280103.75822714402</v>
      </c>
      <c r="D182" s="7">
        <v>202242</v>
      </c>
      <c r="E182" s="7">
        <v>106098</v>
      </c>
      <c r="F182" s="7">
        <v>310237</v>
      </c>
      <c r="G182" s="7">
        <v>207215</v>
      </c>
      <c r="H182" s="7">
        <v>2330658</v>
      </c>
      <c r="I182" s="5">
        <v>9.5454549999999999E-2</v>
      </c>
      <c r="J182" s="10">
        <v>483.6</v>
      </c>
      <c r="K182" s="11">
        <v>167.9</v>
      </c>
      <c r="L182" s="12">
        <f t="shared" si="6"/>
        <v>11271.062087999999</v>
      </c>
      <c r="M182" s="12">
        <f t="shared" si="7"/>
        <v>3913.1747820000001</v>
      </c>
      <c r="N182" s="9">
        <v>16.3675</v>
      </c>
      <c r="O182" s="9">
        <v>2.9169</v>
      </c>
      <c r="P182" s="15">
        <v>28.5</v>
      </c>
      <c r="Q182" s="15">
        <v>36.034999999999997</v>
      </c>
      <c r="R182">
        <v>0.20399999999999999</v>
      </c>
      <c r="S182" s="17">
        <v>451082.59444399999</v>
      </c>
      <c r="T182">
        <v>210.13800000000001</v>
      </c>
      <c r="U182" s="41">
        <f t="shared" si="8"/>
        <v>489759.81080400001</v>
      </c>
    </row>
    <row r="183" spans="1:21" x14ac:dyDescent="0.2">
      <c r="A183" s="7" t="s">
        <v>19</v>
      </c>
      <c r="B183" s="7" t="s">
        <v>200</v>
      </c>
      <c r="C183" s="8">
        <v>128641.792665717</v>
      </c>
      <c r="D183" s="7"/>
      <c r="E183" s="13"/>
      <c r="F183" s="7">
        <v>143328</v>
      </c>
      <c r="G183" s="7">
        <v>147562</v>
      </c>
      <c r="H183" s="7">
        <v>1346186</v>
      </c>
      <c r="I183" s="2">
        <v>6.8025000000000002</v>
      </c>
      <c r="J183" s="10">
        <v>483.6</v>
      </c>
      <c r="K183" s="11">
        <v>167.9</v>
      </c>
      <c r="L183" s="12">
        <f t="shared" si="6"/>
        <v>6510.1554960000003</v>
      </c>
      <c r="M183" s="12">
        <f t="shared" si="7"/>
        <v>2260.246294</v>
      </c>
      <c r="N183" s="9">
        <v>16.3675</v>
      </c>
      <c r="O183" s="9">
        <v>2.9169</v>
      </c>
      <c r="P183" s="15">
        <v>28.5</v>
      </c>
      <c r="Q183" s="15">
        <v>36.034999999999997</v>
      </c>
      <c r="R183">
        <v>0.20399999999999999</v>
      </c>
      <c r="S183" s="17">
        <v>451082.59444399999</v>
      </c>
      <c r="T183">
        <v>223.19800000000001</v>
      </c>
      <c r="U183" s="41">
        <f t="shared" si="8"/>
        <v>300466.02282800002</v>
      </c>
    </row>
    <row r="184" spans="1:21" x14ac:dyDescent="0.2">
      <c r="A184" s="7" t="s">
        <v>19</v>
      </c>
      <c r="B184" s="7" t="s">
        <v>201</v>
      </c>
      <c r="C184" s="8">
        <v>86181.438790208194</v>
      </c>
      <c r="D184" s="7">
        <v>109923</v>
      </c>
      <c r="E184" s="7">
        <v>121403</v>
      </c>
      <c r="F184" s="7">
        <v>311451</v>
      </c>
      <c r="G184" s="7">
        <v>276220</v>
      </c>
      <c r="H184" s="7">
        <v>1275367</v>
      </c>
      <c r="I184" s="2">
        <v>0.21199999999999999</v>
      </c>
      <c r="J184" s="10">
        <v>483.6</v>
      </c>
      <c r="K184" s="11">
        <v>167.9</v>
      </c>
      <c r="L184" s="12">
        <f t="shared" si="6"/>
        <v>6167.6748120000002</v>
      </c>
      <c r="M184" s="12">
        <f t="shared" si="7"/>
        <v>2141.3411930000002</v>
      </c>
      <c r="N184" s="9">
        <v>16.3675</v>
      </c>
      <c r="O184" s="9">
        <v>2.9169</v>
      </c>
      <c r="P184" s="15">
        <v>28.5</v>
      </c>
      <c r="Q184" s="15">
        <v>36.034999999999997</v>
      </c>
      <c r="R184">
        <v>0.20399999999999999</v>
      </c>
      <c r="S184" s="17">
        <v>451082.59444399999</v>
      </c>
      <c r="T184">
        <v>191.053</v>
      </c>
      <c r="U184" s="41">
        <f t="shared" si="8"/>
        <v>243662.69145099999</v>
      </c>
    </row>
    <row r="185" spans="1:21" x14ac:dyDescent="0.2">
      <c r="A185" s="7" t="s">
        <v>19</v>
      </c>
      <c r="B185" s="7" t="s">
        <v>202</v>
      </c>
      <c r="C185" s="8">
        <v>172485.09905848</v>
      </c>
      <c r="D185" s="7">
        <v>218291</v>
      </c>
      <c r="E185" s="7">
        <v>216660</v>
      </c>
      <c r="F185" s="7">
        <v>390858</v>
      </c>
      <c r="G185" s="7">
        <v>165224</v>
      </c>
      <c r="H185" s="7">
        <v>1727598</v>
      </c>
      <c r="I185" s="5">
        <v>0</v>
      </c>
      <c r="J185" s="10">
        <v>483.6</v>
      </c>
      <c r="K185" s="11">
        <v>167.9</v>
      </c>
      <c r="L185" s="12">
        <f t="shared" si="6"/>
        <v>8354.6639279999999</v>
      </c>
      <c r="M185" s="12">
        <f t="shared" si="7"/>
        <v>2900.6370419999998</v>
      </c>
      <c r="N185" s="9">
        <v>16.3675</v>
      </c>
      <c r="O185" s="9">
        <v>2.9169</v>
      </c>
      <c r="P185" s="15">
        <v>28.5</v>
      </c>
      <c r="Q185" s="15">
        <v>36.034999999999997</v>
      </c>
      <c r="R185">
        <v>0.20399999999999999</v>
      </c>
      <c r="S185" s="17">
        <v>451082.59444399999</v>
      </c>
      <c r="T185">
        <v>176.43899999999999</v>
      </c>
      <c r="U185" s="41">
        <f t="shared" si="8"/>
        <v>304815.66352200002</v>
      </c>
    </row>
    <row r="186" spans="1:21" x14ac:dyDescent="0.2">
      <c r="A186" s="7" t="s">
        <v>19</v>
      </c>
      <c r="B186" s="7" t="s">
        <v>203</v>
      </c>
      <c r="C186" s="8">
        <v>131334.710922917</v>
      </c>
      <c r="D186" s="7"/>
      <c r="E186" s="13"/>
      <c r="F186" s="7">
        <v>985837</v>
      </c>
      <c r="G186" s="7">
        <v>927682</v>
      </c>
      <c r="H186" s="7">
        <v>1724714</v>
      </c>
      <c r="I186" s="2">
        <v>2.3314285699999999</v>
      </c>
      <c r="J186" s="10">
        <v>483.6</v>
      </c>
      <c r="K186" s="11">
        <v>167.9</v>
      </c>
      <c r="L186" s="12">
        <f t="shared" si="6"/>
        <v>8340.7169040000008</v>
      </c>
      <c r="M186" s="12">
        <f t="shared" si="7"/>
        <v>2895.7948060000003</v>
      </c>
      <c r="N186" s="9">
        <v>16.3675</v>
      </c>
      <c r="O186" s="9">
        <v>2.9169</v>
      </c>
      <c r="P186" s="15">
        <v>28.5</v>
      </c>
      <c r="Q186" s="15">
        <v>36.034999999999997</v>
      </c>
      <c r="R186">
        <v>0.20399999999999999</v>
      </c>
      <c r="S186" s="17">
        <v>451082.59444399999</v>
      </c>
      <c r="T186">
        <v>190.50899999999999</v>
      </c>
      <c r="U186" s="41">
        <f t="shared" si="8"/>
        <v>328573.53942599997</v>
      </c>
    </row>
    <row r="187" spans="1:21" x14ac:dyDescent="0.2">
      <c r="A187" s="7" t="s">
        <v>19</v>
      </c>
      <c r="B187" s="7" t="s">
        <v>204</v>
      </c>
      <c r="C187" s="8">
        <v>74631.099335613893</v>
      </c>
      <c r="D187" s="7">
        <v>309040</v>
      </c>
      <c r="E187" s="7">
        <v>262858</v>
      </c>
      <c r="F187" s="7">
        <v>191834</v>
      </c>
      <c r="G187" s="7">
        <v>159003</v>
      </c>
      <c r="H187" s="7">
        <v>592751</v>
      </c>
      <c r="I187" s="2">
        <v>12.9</v>
      </c>
      <c r="J187" s="10">
        <v>483.6</v>
      </c>
      <c r="K187" s="11">
        <v>167.9</v>
      </c>
      <c r="L187" s="12">
        <f t="shared" si="6"/>
        <v>2866.5438360000003</v>
      </c>
      <c r="M187" s="12">
        <f t="shared" si="7"/>
        <v>995.22892900000011</v>
      </c>
      <c r="N187" s="9">
        <v>16.3675</v>
      </c>
      <c r="O187" s="9">
        <v>2.9169</v>
      </c>
      <c r="P187" s="15">
        <v>28.5</v>
      </c>
      <c r="Q187" s="15">
        <v>36.034999999999997</v>
      </c>
      <c r="R187">
        <v>0.20399999999999999</v>
      </c>
      <c r="S187" s="17">
        <v>451082.59444399999</v>
      </c>
      <c r="T187">
        <v>242.91399999999999</v>
      </c>
      <c r="U187" s="41">
        <f t="shared" si="8"/>
        <v>143987.51641400001</v>
      </c>
    </row>
    <row r="188" spans="1:21" x14ac:dyDescent="0.2">
      <c r="A188" s="7" t="s">
        <v>19</v>
      </c>
      <c r="B188" s="7" t="s">
        <v>205</v>
      </c>
      <c r="C188" s="8">
        <v>208139.04723174201</v>
      </c>
      <c r="D188" s="7"/>
      <c r="E188" s="13"/>
      <c r="F188" s="7">
        <v>827469</v>
      </c>
      <c r="G188" s="7">
        <v>778718</v>
      </c>
      <c r="H188" s="7">
        <v>979255</v>
      </c>
      <c r="I188" s="2">
        <v>27.095500000000001</v>
      </c>
      <c r="J188" s="10">
        <v>483.6</v>
      </c>
      <c r="K188" s="11">
        <v>167.9</v>
      </c>
      <c r="L188" s="12">
        <f t="shared" si="6"/>
        <v>4735.6771799999997</v>
      </c>
      <c r="M188" s="12">
        <f t="shared" si="7"/>
        <v>1644.1691450000001</v>
      </c>
      <c r="N188" s="9">
        <v>16.3675</v>
      </c>
      <c r="O188" s="9">
        <v>2.9169</v>
      </c>
      <c r="P188" s="15">
        <v>28.5</v>
      </c>
      <c r="Q188" s="15">
        <v>36.034999999999997</v>
      </c>
      <c r="R188">
        <v>0.20399999999999999</v>
      </c>
      <c r="S188" s="17">
        <v>451082.59444399999</v>
      </c>
      <c r="T188">
        <v>341.40199999999999</v>
      </c>
      <c r="U188" s="41">
        <f t="shared" si="8"/>
        <v>334319.61550999997</v>
      </c>
    </row>
    <row r="189" spans="1:21" x14ac:dyDescent="0.2">
      <c r="A189" s="7" t="s">
        <v>20</v>
      </c>
      <c r="B189" s="7" t="s">
        <v>206</v>
      </c>
      <c r="C189" s="8">
        <v>1253868.3277986699</v>
      </c>
      <c r="D189" s="7"/>
      <c r="E189" s="13"/>
      <c r="F189" s="7">
        <v>294189</v>
      </c>
      <c r="G189" s="7">
        <v>272676</v>
      </c>
      <c r="H189" s="7">
        <v>7612172</v>
      </c>
      <c r="I189" s="9">
        <v>0</v>
      </c>
      <c r="J189" s="10">
        <v>284.39999999999998</v>
      </c>
      <c r="K189" s="11">
        <v>126.4</v>
      </c>
      <c r="L189" s="12">
        <f t="shared" si="6"/>
        <v>21649.017167999998</v>
      </c>
      <c r="M189" s="12">
        <f t="shared" si="7"/>
        <v>9621.7854080000016</v>
      </c>
      <c r="N189" s="9">
        <v>6.0068000000000001</v>
      </c>
      <c r="O189" s="9">
        <v>1.2601</v>
      </c>
      <c r="P189" s="15">
        <v>8.2149999999999999</v>
      </c>
      <c r="Q189" s="15">
        <v>96.125</v>
      </c>
      <c r="R189">
        <v>0.254</v>
      </c>
      <c r="S189" s="17">
        <v>306627.73090600001</v>
      </c>
      <c r="T189">
        <v>156.75899999999999</v>
      </c>
      <c r="U189" s="41">
        <f t="shared" si="8"/>
        <v>1193276.470548</v>
      </c>
    </row>
    <row r="190" spans="1:21" x14ac:dyDescent="0.2">
      <c r="A190" s="7" t="s">
        <v>20</v>
      </c>
      <c r="B190" s="7" t="s">
        <v>207</v>
      </c>
      <c r="C190" s="8">
        <v>116229.225229292</v>
      </c>
      <c r="D190" s="7">
        <v>256367</v>
      </c>
      <c r="E190" s="7">
        <v>274182</v>
      </c>
      <c r="F190" s="13"/>
      <c r="G190" s="13"/>
      <c r="H190" s="7">
        <v>1250666</v>
      </c>
      <c r="I190" s="9">
        <v>0</v>
      </c>
      <c r="J190" s="10">
        <v>284.39999999999998</v>
      </c>
      <c r="K190" s="11">
        <v>126.4</v>
      </c>
      <c r="L190" s="12">
        <f t="shared" si="6"/>
        <v>3556.894104</v>
      </c>
      <c r="M190" s="12">
        <f t="shared" si="7"/>
        <v>1580.8418240000001</v>
      </c>
      <c r="N190" s="9">
        <v>6.0068000000000001</v>
      </c>
      <c r="O190" s="9">
        <v>1.2601</v>
      </c>
      <c r="P190" s="15">
        <v>8.2149999999999999</v>
      </c>
      <c r="Q190" s="15">
        <v>96.125</v>
      </c>
      <c r="R190">
        <v>0.254</v>
      </c>
      <c r="S190" s="17">
        <v>306627.73090600001</v>
      </c>
      <c r="T190">
        <v>94.11</v>
      </c>
      <c r="U190" s="41">
        <f t="shared" si="8"/>
        <v>117700.17726000001</v>
      </c>
    </row>
    <row r="191" spans="1:21" x14ac:dyDescent="0.2">
      <c r="A191" s="7" t="s">
        <v>20</v>
      </c>
      <c r="B191" s="7" t="s">
        <v>208</v>
      </c>
      <c r="C191" s="8">
        <v>184030.31311368599</v>
      </c>
      <c r="D191" s="7"/>
      <c r="E191" s="13"/>
      <c r="F191" s="7">
        <v>150011</v>
      </c>
      <c r="G191" s="7">
        <v>125115</v>
      </c>
      <c r="H191" s="7">
        <v>1271668</v>
      </c>
      <c r="I191" s="9">
        <v>0</v>
      </c>
      <c r="J191" s="10">
        <v>284.39999999999998</v>
      </c>
      <c r="K191" s="11">
        <v>126.4</v>
      </c>
      <c r="L191" s="12">
        <f t="shared" si="6"/>
        <v>3616.6237919999999</v>
      </c>
      <c r="M191" s="12">
        <f t="shared" si="7"/>
        <v>1607.3883520000002</v>
      </c>
      <c r="N191" s="9">
        <v>6.0068000000000001</v>
      </c>
      <c r="O191" s="9">
        <v>1.2601</v>
      </c>
      <c r="P191" s="15">
        <v>8.2149999999999999</v>
      </c>
      <c r="Q191" s="15">
        <v>96.125</v>
      </c>
      <c r="R191">
        <v>0.254</v>
      </c>
      <c r="S191" s="17">
        <v>306627.73090600001</v>
      </c>
      <c r="T191">
        <v>167.31100000000001</v>
      </c>
      <c r="U191" s="41">
        <f t="shared" si="8"/>
        <v>212764.04474799999</v>
      </c>
    </row>
    <row r="192" spans="1:21" x14ac:dyDescent="0.2">
      <c r="A192" s="7" t="s">
        <v>20</v>
      </c>
      <c r="B192" s="7" t="s">
        <v>209</v>
      </c>
      <c r="C192" s="8">
        <v>452677.95921001502</v>
      </c>
      <c r="D192" s="7">
        <v>2479734</v>
      </c>
      <c r="E192" s="7">
        <v>2527523</v>
      </c>
      <c r="F192" s="13"/>
      <c r="G192" s="13"/>
      <c r="H192" s="7">
        <v>3438067</v>
      </c>
      <c r="I192" s="9">
        <v>0</v>
      </c>
      <c r="J192" s="10">
        <v>284.39999999999998</v>
      </c>
      <c r="K192" s="11">
        <v>126.4</v>
      </c>
      <c r="L192" s="12">
        <f t="shared" si="6"/>
        <v>9777.8625479999992</v>
      </c>
      <c r="M192" s="12">
        <f t="shared" si="7"/>
        <v>4345.7166880000004</v>
      </c>
      <c r="N192" s="9">
        <v>6.0068000000000001</v>
      </c>
      <c r="O192" s="9">
        <v>1.2601</v>
      </c>
      <c r="P192" s="15">
        <v>8.2149999999999999</v>
      </c>
      <c r="Q192" s="15">
        <v>96.125</v>
      </c>
      <c r="R192">
        <v>0.254</v>
      </c>
      <c r="S192" s="17">
        <v>306627.73090600001</v>
      </c>
      <c r="T192">
        <v>142.864</v>
      </c>
      <c r="U192" s="41">
        <f t="shared" si="8"/>
        <v>491176.00388800004</v>
      </c>
    </row>
    <row r="193" spans="1:21" x14ac:dyDescent="0.2">
      <c r="A193" s="7" t="s">
        <v>20</v>
      </c>
      <c r="B193" s="7" t="s">
        <v>210</v>
      </c>
      <c r="C193" s="8">
        <v>283797.775723634</v>
      </c>
      <c r="D193" s="7"/>
      <c r="E193" s="13"/>
      <c r="F193" s="7">
        <v>130455</v>
      </c>
      <c r="G193" s="7">
        <v>132128</v>
      </c>
      <c r="H193" s="7">
        <v>1717717</v>
      </c>
      <c r="I193" s="9">
        <v>0</v>
      </c>
      <c r="J193" s="10">
        <v>284.39999999999998</v>
      </c>
      <c r="K193" s="11">
        <v>126.4</v>
      </c>
      <c r="L193" s="12">
        <f t="shared" si="6"/>
        <v>4885.1871479999991</v>
      </c>
      <c r="M193" s="12">
        <f t="shared" si="7"/>
        <v>2171.1942880000001</v>
      </c>
      <c r="N193" s="9">
        <v>6.0068000000000001</v>
      </c>
      <c r="O193" s="9">
        <v>1.2601</v>
      </c>
      <c r="P193" s="15">
        <v>8.2149999999999999</v>
      </c>
      <c r="Q193" s="15">
        <v>96.125</v>
      </c>
      <c r="R193">
        <v>0.254</v>
      </c>
      <c r="S193" s="17">
        <v>306627.73090600001</v>
      </c>
      <c r="T193">
        <v>172.53299999999999</v>
      </c>
      <c r="U193" s="41">
        <f t="shared" si="8"/>
        <v>296362.86716099997</v>
      </c>
    </row>
    <row r="194" spans="1:21" x14ac:dyDescent="0.2">
      <c r="A194" s="7" t="s">
        <v>20</v>
      </c>
      <c r="B194" s="7" t="s">
        <v>211</v>
      </c>
      <c r="C194" s="8">
        <v>67040.720055488506</v>
      </c>
      <c r="D194" s="7">
        <v>392805</v>
      </c>
      <c r="E194" s="7">
        <v>393597</v>
      </c>
      <c r="F194" s="13"/>
      <c r="G194" s="13"/>
      <c r="H194" s="7">
        <v>933177</v>
      </c>
      <c r="I194" s="9">
        <v>0</v>
      </c>
      <c r="J194" s="10">
        <v>284.39999999999998</v>
      </c>
      <c r="K194" s="11">
        <v>126.4</v>
      </c>
      <c r="L194" s="12">
        <f t="shared" si="6"/>
        <v>2653.9553879999999</v>
      </c>
      <c r="M194" s="12">
        <f t="shared" si="7"/>
        <v>1179.5357280000001</v>
      </c>
      <c r="N194" s="9">
        <v>6.0068000000000001</v>
      </c>
      <c r="O194" s="9">
        <v>1.2601</v>
      </c>
      <c r="P194" s="15">
        <v>8.2149999999999999</v>
      </c>
      <c r="Q194" s="15">
        <v>96.125</v>
      </c>
      <c r="R194">
        <v>0.254</v>
      </c>
      <c r="S194" s="17">
        <v>306627.73090600001</v>
      </c>
      <c r="T194">
        <v>75.299000000000007</v>
      </c>
      <c r="U194" s="41">
        <f t="shared" si="8"/>
        <v>70267.294923000009</v>
      </c>
    </row>
    <row r="195" spans="1:21" x14ac:dyDescent="0.2">
      <c r="A195" s="7" t="s">
        <v>20</v>
      </c>
      <c r="B195" s="7" t="s">
        <v>212</v>
      </c>
      <c r="C195" s="8">
        <v>247314.72322500701</v>
      </c>
      <c r="D195" s="7">
        <v>1656111</v>
      </c>
      <c r="E195" s="7">
        <v>1645737</v>
      </c>
      <c r="F195" s="13"/>
      <c r="G195" s="13"/>
      <c r="H195" s="7">
        <v>1957580</v>
      </c>
      <c r="I195" s="9">
        <v>0</v>
      </c>
      <c r="J195" s="10">
        <v>284.39999999999998</v>
      </c>
      <c r="K195" s="11">
        <v>126.4</v>
      </c>
      <c r="L195" s="12">
        <f t="shared" ref="L195:L203" si="9">IFERROR($H195*J195/100000,"")</f>
        <v>5567.3575199999996</v>
      </c>
      <c r="M195" s="12">
        <f t="shared" ref="M195:M203" si="10">IFERROR($H195*K195/100000,"")</f>
        <v>2474.38112</v>
      </c>
      <c r="N195" s="9">
        <v>6.0068000000000001</v>
      </c>
      <c r="O195" s="9">
        <v>1.2601</v>
      </c>
      <c r="P195" s="15">
        <v>8.2149999999999999</v>
      </c>
      <c r="Q195" s="15">
        <v>96.125</v>
      </c>
      <c r="R195">
        <v>0.254</v>
      </c>
      <c r="S195" s="17">
        <v>306627.73090600001</v>
      </c>
      <c r="T195">
        <v>128.64599999999999</v>
      </c>
      <c r="U195" s="41">
        <f t="shared" ref="U195:U203" si="11">IFERROR($T195*$H195/1000,"")</f>
        <v>251834.83667999998</v>
      </c>
    </row>
    <row r="196" spans="1:21" x14ac:dyDescent="0.2">
      <c r="A196" s="7" t="s">
        <v>20</v>
      </c>
      <c r="B196" s="7" t="s">
        <v>213</v>
      </c>
      <c r="C196" s="8">
        <v>382556.91569919599</v>
      </c>
      <c r="D196" s="7">
        <v>1038385</v>
      </c>
      <c r="E196" s="7">
        <v>1070722</v>
      </c>
      <c r="F196" s="13"/>
      <c r="G196" s="13"/>
      <c r="H196" s="7">
        <v>2748012</v>
      </c>
      <c r="I196" s="9">
        <v>0</v>
      </c>
      <c r="J196" s="10">
        <v>284.39999999999998</v>
      </c>
      <c r="K196" s="11">
        <v>126.4</v>
      </c>
      <c r="L196" s="12">
        <f t="shared" si="9"/>
        <v>7815.3461279999992</v>
      </c>
      <c r="M196" s="12">
        <f t="shared" si="10"/>
        <v>3473.4871680000001</v>
      </c>
      <c r="N196" s="9">
        <v>6.0068000000000001</v>
      </c>
      <c r="O196" s="9">
        <v>1.2601</v>
      </c>
      <c r="P196" s="15">
        <v>8.2149999999999999</v>
      </c>
      <c r="Q196" s="15">
        <v>96.125</v>
      </c>
      <c r="R196">
        <v>0.254</v>
      </c>
      <c r="S196" s="17">
        <v>306627.73090600001</v>
      </c>
      <c r="T196">
        <v>131.41200000000001</v>
      </c>
      <c r="U196" s="41">
        <f t="shared" si="11"/>
        <v>361121.75294400001</v>
      </c>
    </row>
    <row r="197" spans="1:21" x14ac:dyDescent="0.2">
      <c r="A197" s="7" t="s">
        <v>21</v>
      </c>
      <c r="B197" s="7" t="s">
        <v>214</v>
      </c>
      <c r="C197" s="8">
        <v>219499.83155527001</v>
      </c>
      <c r="D197" s="7">
        <v>420268</v>
      </c>
      <c r="E197" s="7">
        <v>452405</v>
      </c>
      <c r="F197" s="9"/>
      <c r="G197" s="13"/>
      <c r="H197" s="7">
        <v>832543</v>
      </c>
      <c r="I197" s="9">
        <v>0</v>
      </c>
      <c r="J197" s="10">
        <v>246.7</v>
      </c>
      <c r="K197" s="11">
        <v>224.7</v>
      </c>
      <c r="L197" s="12">
        <f t="shared" si="9"/>
        <v>2053.883581</v>
      </c>
      <c r="M197" s="12">
        <f t="shared" si="10"/>
        <v>1870.724121</v>
      </c>
      <c r="N197" s="9">
        <v>4.9485999999999999</v>
      </c>
      <c r="O197" s="9">
        <v>1.1746000000000001</v>
      </c>
      <c r="P197" s="15">
        <v>9.75</v>
      </c>
      <c r="Q197" s="15">
        <v>102.02500000000001</v>
      </c>
      <c r="R197">
        <v>0.153</v>
      </c>
      <c r="S197" s="17">
        <v>402226.87959999999</v>
      </c>
      <c r="T197">
        <v>252.90899999999999</v>
      </c>
      <c r="U197" s="41">
        <f t="shared" si="11"/>
        <v>210557.61758699999</v>
      </c>
    </row>
    <row r="198" spans="1:21" x14ac:dyDescent="0.2">
      <c r="A198" s="7" t="s">
        <v>21</v>
      </c>
      <c r="B198" s="7" t="s">
        <v>215</v>
      </c>
      <c r="C198" s="8">
        <v>265598.76281036099</v>
      </c>
      <c r="D198" s="7">
        <v>632281</v>
      </c>
      <c r="E198" s="7">
        <v>656914</v>
      </c>
      <c r="F198" s="9"/>
      <c r="G198" s="13"/>
      <c r="H198" s="7">
        <v>1031366</v>
      </c>
      <c r="I198" s="9">
        <v>0</v>
      </c>
      <c r="J198" s="10">
        <v>246.7</v>
      </c>
      <c r="K198" s="11">
        <v>224.7</v>
      </c>
      <c r="L198" s="12">
        <f t="shared" si="9"/>
        <v>2544.3799220000001</v>
      </c>
      <c r="M198" s="12">
        <f t="shared" si="10"/>
        <v>2317.4794019999999</v>
      </c>
      <c r="N198" s="9">
        <v>4.9485999999999999</v>
      </c>
      <c r="O198" s="9">
        <v>1.1746000000000001</v>
      </c>
      <c r="P198" s="15">
        <v>9.75</v>
      </c>
      <c r="Q198" s="15">
        <v>102.02500000000001</v>
      </c>
      <c r="R198">
        <v>0.153</v>
      </c>
      <c r="S198" s="17">
        <v>402226.87959999999</v>
      </c>
      <c r="T198">
        <v>270.85000000000002</v>
      </c>
      <c r="U198" s="41">
        <f t="shared" si="11"/>
        <v>279345.48110000003</v>
      </c>
    </row>
    <row r="199" spans="1:21" x14ac:dyDescent="0.2">
      <c r="A199" s="7" t="s">
        <v>21</v>
      </c>
      <c r="B199" s="7" t="s">
        <v>216</v>
      </c>
      <c r="C199" s="8">
        <v>728581.78129658697</v>
      </c>
      <c r="D199" s="7">
        <v>9041</v>
      </c>
      <c r="E199" s="7">
        <v>3946</v>
      </c>
      <c r="F199" s="9"/>
      <c r="G199" s="13"/>
      <c r="H199" s="7">
        <v>1409272</v>
      </c>
      <c r="I199" s="9">
        <v>0</v>
      </c>
      <c r="J199" s="10">
        <v>246.7</v>
      </c>
      <c r="K199" s="11">
        <v>224.7</v>
      </c>
      <c r="L199" s="12">
        <f t="shared" si="9"/>
        <v>3476.6740239999999</v>
      </c>
      <c r="M199" s="12">
        <f t="shared" si="10"/>
        <v>3166.6341839999995</v>
      </c>
      <c r="N199" s="9">
        <v>4.9485999999999999</v>
      </c>
      <c r="O199" s="9">
        <v>1.1746000000000001</v>
      </c>
      <c r="P199" s="15">
        <v>9.75</v>
      </c>
      <c r="Q199" s="15">
        <v>102.02500000000001</v>
      </c>
      <c r="R199">
        <v>0.153</v>
      </c>
      <c r="S199" s="17">
        <v>402226.87959999999</v>
      </c>
      <c r="T199">
        <v>188.01400000000001</v>
      </c>
      <c r="U199" s="41">
        <f t="shared" si="11"/>
        <v>264962.86580800003</v>
      </c>
    </row>
    <row r="200" spans="1:21" x14ac:dyDescent="0.2">
      <c r="A200" s="7" t="s">
        <v>21</v>
      </c>
      <c r="B200" s="7" t="s">
        <v>217</v>
      </c>
      <c r="C200" s="8">
        <v>411689.70328103198</v>
      </c>
      <c r="D200" s="7">
        <v>1080708</v>
      </c>
      <c r="E200" s="7">
        <v>1095781</v>
      </c>
      <c r="F200" s="9"/>
      <c r="G200" s="13"/>
      <c r="H200" s="7">
        <v>1712068</v>
      </c>
      <c r="I200" s="9">
        <v>0</v>
      </c>
      <c r="J200" s="10">
        <v>246.7</v>
      </c>
      <c r="K200" s="11">
        <v>224.7</v>
      </c>
      <c r="L200" s="12">
        <f t="shared" si="9"/>
        <v>4223.6717559999997</v>
      </c>
      <c r="M200" s="12">
        <f t="shared" si="10"/>
        <v>3847.0167959999994</v>
      </c>
      <c r="N200" s="9">
        <v>4.9485999999999999</v>
      </c>
      <c r="O200" s="9">
        <v>1.1746000000000001</v>
      </c>
      <c r="P200" s="15">
        <v>9.75</v>
      </c>
      <c r="Q200" s="15">
        <v>102.02500000000001</v>
      </c>
      <c r="R200">
        <v>0.153</v>
      </c>
      <c r="S200" s="17">
        <v>402226.87959999999</v>
      </c>
      <c r="T200">
        <v>230.339</v>
      </c>
      <c r="U200" s="41">
        <f t="shared" si="11"/>
        <v>394356.03105200001</v>
      </c>
    </row>
    <row r="201" spans="1:21" x14ac:dyDescent="0.2">
      <c r="A201" s="7" t="s">
        <v>21</v>
      </c>
      <c r="B201" s="7" t="s">
        <v>78</v>
      </c>
      <c r="C201" s="8">
        <v>367293.62906874903</v>
      </c>
      <c r="D201" s="7">
        <v>806089</v>
      </c>
      <c r="E201" s="7">
        <v>847326</v>
      </c>
      <c r="F201" s="9"/>
      <c r="G201" s="13"/>
      <c r="H201" s="7">
        <v>1196727</v>
      </c>
      <c r="I201" s="9">
        <v>0</v>
      </c>
      <c r="J201" s="10">
        <v>246.7</v>
      </c>
      <c r="K201" s="11">
        <v>224.7</v>
      </c>
      <c r="L201" s="12">
        <f t="shared" si="9"/>
        <v>2952.3255089999998</v>
      </c>
      <c r="M201" s="12">
        <f t="shared" si="10"/>
        <v>2689.0455689999999</v>
      </c>
      <c r="N201" s="9">
        <v>4.9485999999999999</v>
      </c>
      <c r="O201" s="9">
        <v>1.1746000000000001</v>
      </c>
      <c r="P201" s="15">
        <v>9.75</v>
      </c>
      <c r="Q201" s="15">
        <v>102.02500000000001</v>
      </c>
      <c r="R201">
        <v>0.153</v>
      </c>
      <c r="S201" s="17">
        <v>402226.87959999999</v>
      </c>
      <c r="T201">
        <v>299.86799999999999</v>
      </c>
      <c r="U201" s="41">
        <f t="shared" si="11"/>
        <v>358860.13203600002</v>
      </c>
    </row>
    <row r="202" spans="1:21" x14ac:dyDescent="0.2">
      <c r="A202" s="7" t="s">
        <v>22</v>
      </c>
      <c r="B202" s="7" t="s">
        <v>218</v>
      </c>
      <c r="C202" s="8">
        <v>3034104.74935601</v>
      </c>
      <c r="D202" s="7">
        <v>515066</v>
      </c>
      <c r="E202" s="7">
        <v>455031</v>
      </c>
      <c r="F202" s="9"/>
      <c r="G202" s="13"/>
      <c r="H202" s="7">
        <v>9911477</v>
      </c>
      <c r="I202" s="9">
        <v>0</v>
      </c>
      <c r="J202" s="10">
        <v>1438.3</v>
      </c>
      <c r="K202" s="11">
        <v>207.3</v>
      </c>
      <c r="L202" s="12">
        <f t="shared" si="9"/>
        <v>142556.77369100001</v>
      </c>
      <c r="M202" s="12">
        <f t="shared" si="10"/>
        <v>20546.491821</v>
      </c>
      <c r="N202" s="9">
        <v>5.4824999999999999</v>
      </c>
      <c r="O202" s="9">
        <v>1.1910000000000001</v>
      </c>
      <c r="P202" s="15">
        <v>1.3599999999999999</v>
      </c>
      <c r="Q202" s="15">
        <v>46.125</v>
      </c>
      <c r="R202">
        <v>0.15</v>
      </c>
      <c r="S202" s="17">
        <v>1292872.1129999999</v>
      </c>
      <c r="T202">
        <v>313.75900000000001</v>
      </c>
      <c r="U202" s="41">
        <f t="shared" si="11"/>
        <v>3109815.1120430003</v>
      </c>
    </row>
    <row r="203" spans="1:21" x14ac:dyDescent="0.2">
      <c r="A203" s="7" t="s">
        <v>22</v>
      </c>
      <c r="B203" s="7" t="s">
        <v>219</v>
      </c>
      <c r="C203" s="8">
        <v>2428410.5290998998</v>
      </c>
      <c r="D203" s="7">
        <v>136711</v>
      </c>
      <c r="E203" s="7">
        <v>141469</v>
      </c>
      <c r="F203" s="9"/>
      <c r="G203" s="13"/>
      <c r="H203" s="7">
        <v>12019569</v>
      </c>
      <c r="I203" s="9">
        <v>0</v>
      </c>
      <c r="J203" s="10">
        <v>1438.3</v>
      </c>
      <c r="K203" s="11">
        <v>207.3</v>
      </c>
      <c r="L203" s="12">
        <f t="shared" si="9"/>
        <v>172877.46092700001</v>
      </c>
      <c r="M203" s="12">
        <f t="shared" si="10"/>
        <v>24916.566537000002</v>
      </c>
      <c r="N203" s="9">
        <v>5.4824999999999999</v>
      </c>
      <c r="O203" s="9">
        <v>1.1910000000000001</v>
      </c>
      <c r="P203" s="15">
        <v>1.3599999999999999</v>
      </c>
      <c r="Q203" s="15">
        <v>46.125</v>
      </c>
      <c r="R203">
        <v>0.15</v>
      </c>
      <c r="S203" s="17">
        <v>1292872.1129999999</v>
      </c>
      <c r="T203">
        <v>205.042</v>
      </c>
      <c r="U203" s="41">
        <f t="shared" si="11"/>
        <v>2464516.4668980003</v>
      </c>
    </row>
    <row r="204" spans="1:2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2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C5A2-1F7B-B74A-8E16-B094644A862A}">
  <dimension ref="A1:G203"/>
  <sheetViews>
    <sheetView zoomScale="90" zoomScaleNormal="166" workbookViewId="0">
      <selection activeCell="F1" sqref="F1"/>
    </sheetView>
  </sheetViews>
  <sheetFormatPr baseColWidth="10" defaultRowHeight="16" x14ac:dyDescent="0.2"/>
  <cols>
    <col min="1" max="1" width="36.83203125" customWidth="1"/>
    <col min="2" max="2" width="15" customWidth="1"/>
    <col min="3" max="3" width="21.83203125" customWidth="1"/>
    <col min="4" max="4" width="13.6640625" customWidth="1"/>
    <col min="5" max="5" width="28.5" customWidth="1"/>
    <col min="6" max="7" width="28.33203125" customWidth="1"/>
  </cols>
  <sheetData>
    <row r="1" spans="1:7" ht="19" x14ac:dyDescent="0.25">
      <c r="A1" s="19" t="s">
        <v>0</v>
      </c>
      <c r="B1" s="19" t="s">
        <v>240</v>
      </c>
      <c r="C1" s="19" t="s">
        <v>238</v>
      </c>
      <c r="D1" s="19" t="s">
        <v>239</v>
      </c>
      <c r="E1" s="19" t="s">
        <v>241</v>
      </c>
      <c r="F1" s="20"/>
      <c r="G1" s="18"/>
    </row>
    <row r="2" spans="1:7" x14ac:dyDescent="0.2">
      <c r="A2" s="16" t="s">
        <v>242</v>
      </c>
      <c r="B2" s="16" t="s">
        <v>23</v>
      </c>
      <c r="C2" s="21">
        <v>46500</v>
      </c>
      <c r="D2" s="21">
        <v>12600</v>
      </c>
      <c r="E2" s="22">
        <v>0.32700000000000001</v>
      </c>
      <c r="F2" s="17"/>
      <c r="G2" s="17"/>
    </row>
    <row r="3" spans="1:7" x14ac:dyDescent="0.2">
      <c r="A3" s="16" t="s">
        <v>242</v>
      </c>
      <c r="B3" s="16" t="s">
        <v>24</v>
      </c>
      <c r="C3" s="21">
        <v>46500.5</v>
      </c>
      <c r="D3" s="21">
        <v>12600</v>
      </c>
      <c r="E3" s="22">
        <v>0.32700000000000001</v>
      </c>
      <c r="F3" s="17"/>
      <c r="G3" s="17"/>
    </row>
    <row r="4" spans="1:7" x14ac:dyDescent="0.2">
      <c r="A4" s="16" t="s">
        <v>242</v>
      </c>
      <c r="B4" s="16" t="s">
        <v>243</v>
      </c>
      <c r="C4" s="21">
        <v>46501</v>
      </c>
      <c r="D4" s="21">
        <v>12600</v>
      </c>
      <c r="E4" s="22">
        <v>0.32700000000000001</v>
      </c>
      <c r="F4" s="17"/>
      <c r="G4" s="17"/>
    </row>
    <row r="5" spans="1:7" x14ac:dyDescent="0.2">
      <c r="A5" s="16" t="s">
        <v>242</v>
      </c>
      <c r="B5" s="16" t="s">
        <v>275</v>
      </c>
      <c r="C5" s="21">
        <v>46501.5</v>
      </c>
      <c r="D5" s="21">
        <v>12600</v>
      </c>
      <c r="E5" s="22">
        <v>0.32700000000000001</v>
      </c>
      <c r="F5" s="17"/>
      <c r="G5" s="17"/>
    </row>
    <row r="6" spans="1:7" x14ac:dyDescent="0.2">
      <c r="A6" s="16" t="s">
        <v>242</v>
      </c>
      <c r="B6" s="16" t="s">
        <v>276</v>
      </c>
      <c r="C6" s="21">
        <v>46502</v>
      </c>
      <c r="D6" s="21">
        <v>12600</v>
      </c>
      <c r="E6" s="22">
        <v>0.32700000000000001</v>
      </c>
      <c r="F6" s="17"/>
      <c r="G6" s="17"/>
    </row>
    <row r="7" spans="1:7" x14ac:dyDescent="0.2">
      <c r="A7" s="16" t="s">
        <v>242</v>
      </c>
      <c r="B7" s="16" t="s">
        <v>26</v>
      </c>
      <c r="C7" s="21">
        <v>46502.5</v>
      </c>
      <c r="D7" s="21">
        <v>12600</v>
      </c>
      <c r="E7" s="22">
        <v>0.32700000000000001</v>
      </c>
      <c r="F7" s="17"/>
      <c r="G7" s="17"/>
    </row>
    <row r="8" spans="1:7" x14ac:dyDescent="0.2">
      <c r="A8" s="16" t="s">
        <v>242</v>
      </c>
      <c r="B8" s="16" t="s">
        <v>27</v>
      </c>
      <c r="C8" s="21">
        <v>46503</v>
      </c>
      <c r="D8" s="21">
        <v>12600</v>
      </c>
      <c r="E8" s="22">
        <v>0.32700000000000001</v>
      </c>
      <c r="F8" s="17"/>
      <c r="G8" s="17"/>
    </row>
    <row r="9" spans="1:7" x14ac:dyDescent="0.2">
      <c r="A9" s="16" t="s">
        <v>242</v>
      </c>
      <c r="B9" s="16" t="s">
        <v>244</v>
      </c>
      <c r="C9" s="21">
        <v>46503.5</v>
      </c>
      <c r="D9" s="21">
        <v>12600</v>
      </c>
      <c r="E9" s="22">
        <v>0.32700000000000001</v>
      </c>
      <c r="F9" s="17"/>
      <c r="G9" s="17"/>
    </row>
    <row r="10" spans="1:7" x14ac:dyDescent="0.2">
      <c r="A10" s="16" t="s">
        <v>242</v>
      </c>
      <c r="B10" s="16" t="s">
        <v>29</v>
      </c>
      <c r="C10" s="21">
        <v>46504</v>
      </c>
      <c r="D10" s="21">
        <v>12600</v>
      </c>
      <c r="E10" s="22">
        <v>0.32700000000000001</v>
      </c>
      <c r="F10" s="17"/>
      <c r="G10" s="17"/>
    </row>
    <row r="11" spans="1:7" x14ac:dyDescent="0.2">
      <c r="A11" s="16" t="s">
        <v>2</v>
      </c>
      <c r="B11" s="16" t="s">
        <v>30</v>
      </c>
      <c r="C11" s="21">
        <v>84037.815000000002</v>
      </c>
      <c r="D11" s="21">
        <v>10500</v>
      </c>
      <c r="E11" s="22">
        <v>1.288</v>
      </c>
      <c r="F11" s="17"/>
      <c r="G11" s="17"/>
    </row>
    <row r="12" spans="1:7" x14ac:dyDescent="0.2">
      <c r="A12" s="16" t="s">
        <v>2</v>
      </c>
      <c r="B12" s="16" t="s">
        <v>31</v>
      </c>
      <c r="C12" s="21">
        <v>84037.815000000002</v>
      </c>
      <c r="D12" s="21">
        <v>10500</v>
      </c>
      <c r="E12" s="22">
        <v>1.288</v>
      </c>
      <c r="F12" s="17"/>
      <c r="G12" s="17"/>
    </row>
    <row r="13" spans="1:7" x14ac:dyDescent="0.2">
      <c r="A13" s="16" t="s">
        <v>2</v>
      </c>
      <c r="B13" s="16" t="s">
        <v>32</v>
      </c>
      <c r="C13" s="21">
        <v>84037.815000000002</v>
      </c>
      <c r="D13" s="21">
        <v>10500</v>
      </c>
      <c r="E13" s="22">
        <v>1.288</v>
      </c>
      <c r="F13" s="17"/>
      <c r="G13" s="17"/>
    </row>
    <row r="14" spans="1:7" x14ac:dyDescent="0.2">
      <c r="A14" s="16" t="s">
        <v>2</v>
      </c>
      <c r="B14" s="16" t="s">
        <v>33</v>
      </c>
      <c r="C14" s="21">
        <v>84037.815000000002</v>
      </c>
      <c r="D14" s="21">
        <v>10500</v>
      </c>
      <c r="E14" s="22">
        <v>1.288</v>
      </c>
      <c r="F14" s="17"/>
      <c r="G14" s="17"/>
    </row>
    <row r="15" spans="1:7" x14ac:dyDescent="0.2">
      <c r="A15" s="16" t="s">
        <v>2</v>
      </c>
      <c r="B15" s="16" t="s">
        <v>34</v>
      </c>
      <c r="C15" s="21">
        <v>84037.815000000002</v>
      </c>
      <c r="D15" s="21">
        <v>10500</v>
      </c>
      <c r="E15" s="22">
        <v>1.288</v>
      </c>
      <c r="F15" s="17"/>
      <c r="G15" s="17"/>
    </row>
    <row r="16" spans="1:7" x14ac:dyDescent="0.2">
      <c r="A16" s="16" t="s">
        <v>2</v>
      </c>
      <c r="B16" s="16" t="s">
        <v>35</v>
      </c>
      <c r="C16" s="21">
        <v>84037.815000000002</v>
      </c>
      <c r="D16" s="21">
        <v>10500</v>
      </c>
      <c r="E16" s="22">
        <v>1.288</v>
      </c>
      <c r="F16" s="17"/>
      <c r="G16" s="17"/>
    </row>
    <row r="17" spans="1:7" x14ac:dyDescent="0.2">
      <c r="A17" s="16" t="s">
        <v>2</v>
      </c>
      <c r="B17" s="16" t="s">
        <v>36</v>
      </c>
      <c r="C17" s="21">
        <v>84037.815000000002</v>
      </c>
      <c r="D17" s="21">
        <v>10500</v>
      </c>
      <c r="E17" s="22">
        <v>1.288</v>
      </c>
      <c r="F17" s="17"/>
      <c r="G17" s="17"/>
    </row>
    <row r="18" spans="1:7" x14ac:dyDescent="0.2">
      <c r="A18" s="16" t="s">
        <v>2</v>
      </c>
      <c r="B18" s="16" t="s">
        <v>37</v>
      </c>
      <c r="C18" s="21">
        <v>84037.815000000002</v>
      </c>
      <c r="D18" s="21">
        <v>10500</v>
      </c>
      <c r="E18" s="22">
        <v>1.288</v>
      </c>
      <c r="F18" s="17"/>
      <c r="G18" s="17"/>
    </row>
    <row r="19" spans="1:7" x14ac:dyDescent="0.2">
      <c r="A19" s="16" t="s">
        <v>2</v>
      </c>
      <c r="B19" s="16" t="s">
        <v>38</v>
      </c>
      <c r="C19" s="21">
        <v>84037.815000000002</v>
      </c>
      <c r="D19" s="21">
        <v>10500</v>
      </c>
      <c r="E19" s="22">
        <v>1.288</v>
      </c>
      <c r="F19" s="17"/>
      <c r="G19" s="17"/>
    </row>
    <row r="20" spans="1:7" x14ac:dyDescent="0.2">
      <c r="A20" s="16" t="s">
        <v>2</v>
      </c>
      <c r="B20" s="16" t="s">
        <v>39</v>
      </c>
      <c r="C20" s="21">
        <v>84037.815000000002</v>
      </c>
      <c r="D20" s="21">
        <v>10500</v>
      </c>
      <c r="E20" s="22">
        <v>1.288</v>
      </c>
      <c r="F20" s="17"/>
      <c r="G20" s="17"/>
    </row>
    <row r="21" spans="1:7" x14ac:dyDescent="0.2">
      <c r="A21" s="16" t="s">
        <v>2</v>
      </c>
      <c r="B21" s="16" t="s">
        <v>40</v>
      </c>
      <c r="C21" s="21">
        <v>84037.815000000002</v>
      </c>
      <c r="D21" s="21">
        <v>10500</v>
      </c>
      <c r="E21" s="22">
        <v>1.288</v>
      </c>
      <c r="F21" s="17"/>
      <c r="G21" s="17"/>
    </row>
    <row r="22" spans="1:7" x14ac:dyDescent="0.2">
      <c r="A22" s="16" t="s">
        <v>3</v>
      </c>
      <c r="B22" s="16" t="s">
        <v>41</v>
      </c>
      <c r="C22" s="21">
        <v>70587.289999999994</v>
      </c>
      <c r="D22" s="21">
        <v>22290</v>
      </c>
      <c r="E22" s="22">
        <v>1.51</v>
      </c>
      <c r="F22" s="17"/>
      <c r="G22" s="17"/>
    </row>
    <row r="23" spans="1:7" x14ac:dyDescent="0.2">
      <c r="A23" s="16" t="s">
        <v>3</v>
      </c>
      <c r="B23" s="16" t="s">
        <v>42</v>
      </c>
      <c r="C23" s="21">
        <v>70587.289999999994</v>
      </c>
      <c r="D23" s="21">
        <v>22290</v>
      </c>
      <c r="E23" s="22">
        <v>1.51</v>
      </c>
      <c r="F23" s="17"/>
      <c r="G23" s="17"/>
    </row>
    <row r="24" spans="1:7" x14ac:dyDescent="0.2">
      <c r="A24" s="16" t="s">
        <v>4</v>
      </c>
      <c r="B24" s="16" t="s">
        <v>43</v>
      </c>
      <c r="C24" s="21">
        <v>37500</v>
      </c>
      <c r="D24" s="21">
        <v>6000</v>
      </c>
      <c r="E24" s="22">
        <v>1.343</v>
      </c>
      <c r="F24" s="17"/>
      <c r="G24" s="17"/>
    </row>
    <row r="25" spans="1:7" x14ac:dyDescent="0.2">
      <c r="A25" s="16" t="s">
        <v>4</v>
      </c>
      <c r="B25" s="16" t="s">
        <v>44</v>
      </c>
      <c r="C25" s="21">
        <v>37500</v>
      </c>
      <c r="D25" s="21">
        <v>6000</v>
      </c>
      <c r="E25" s="22">
        <v>1.343</v>
      </c>
      <c r="F25" s="17"/>
      <c r="G25" s="17"/>
    </row>
    <row r="26" spans="1:7" x14ac:dyDescent="0.2">
      <c r="A26" s="16" t="s">
        <v>4</v>
      </c>
      <c r="B26" s="16" t="s">
        <v>45</v>
      </c>
      <c r="C26" s="21">
        <v>37500</v>
      </c>
      <c r="D26" s="21">
        <v>6000</v>
      </c>
      <c r="E26" s="22">
        <v>1.343</v>
      </c>
      <c r="F26" s="17"/>
      <c r="G26" s="17"/>
    </row>
    <row r="27" spans="1:7" x14ac:dyDescent="0.2">
      <c r="A27" s="16" t="s">
        <v>4</v>
      </c>
      <c r="B27" s="16" t="s">
        <v>46</v>
      </c>
      <c r="C27" s="21">
        <v>37500</v>
      </c>
      <c r="D27" s="21">
        <v>6000</v>
      </c>
      <c r="E27" s="22">
        <v>1.343</v>
      </c>
      <c r="F27" s="17"/>
      <c r="G27" s="17"/>
    </row>
    <row r="28" spans="1:7" x14ac:dyDescent="0.2">
      <c r="A28" s="16" t="s">
        <v>4</v>
      </c>
      <c r="B28" s="16" t="s">
        <v>47</v>
      </c>
      <c r="C28" s="21">
        <v>37500</v>
      </c>
      <c r="D28" s="21">
        <v>6000</v>
      </c>
      <c r="E28" s="22">
        <v>1.343</v>
      </c>
      <c r="F28" s="17"/>
      <c r="G28" s="17"/>
    </row>
    <row r="29" spans="1:7" x14ac:dyDescent="0.2">
      <c r="A29" s="16" t="s">
        <v>4</v>
      </c>
      <c r="B29" s="16" t="s">
        <v>48</v>
      </c>
      <c r="C29" s="21">
        <v>37500</v>
      </c>
      <c r="D29" s="21">
        <v>6000</v>
      </c>
      <c r="E29" s="22">
        <v>1.343</v>
      </c>
      <c r="F29" s="17"/>
      <c r="G29" s="17"/>
    </row>
    <row r="30" spans="1:7" x14ac:dyDescent="0.2">
      <c r="A30" s="16" t="s">
        <v>5</v>
      </c>
      <c r="B30" s="16" t="s">
        <v>49</v>
      </c>
      <c r="C30" s="21">
        <v>57141.035000000003</v>
      </c>
      <c r="D30" s="21">
        <v>5520</v>
      </c>
      <c r="E30" s="22">
        <v>1.4910000000000001</v>
      </c>
      <c r="F30" s="17"/>
      <c r="G30" s="17"/>
    </row>
    <row r="31" spans="1:7" x14ac:dyDescent="0.2">
      <c r="A31" s="16" t="s">
        <v>5</v>
      </c>
      <c r="B31" s="16" t="s">
        <v>245</v>
      </c>
      <c r="C31" s="21">
        <v>57141.035000000003</v>
      </c>
      <c r="D31" s="21">
        <v>5520</v>
      </c>
      <c r="E31" s="22">
        <v>1.4910000000000001</v>
      </c>
      <c r="F31" s="17"/>
      <c r="G31" s="17"/>
    </row>
    <row r="32" spans="1:7" x14ac:dyDescent="0.2">
      <c r="A32" s="16" t="s">
        <v>5</v>
      </c>
      <c r="B32" s="16" t="s">
        <v>51</v>
      </c>
      <c r="C32" s="21">
        <v>57141.035000000003</v>
      </c>
      <c r="D32" s="21">
        <v>5520</v>
      </c>
      <c r="E32" s="22">
        <v>1.4910000000000001</v>
      </c>
      <c r="F32" s="17"/>
      <c r="G32" s="17"/>
    </row>
    <row r="33" spans="1:7" x14ac:dyDescent="0.2">
      <c r="A33" s="16" t="s">
        <v>5</v>
      </c>
      <c r="B33" s="16" t="s">
        <v>52</v>
      </c>
      <c r="C33" s="21">
        <v>57141.035000000003</v>
      </c>
      <c r="D33" s="21">
        <v>5520</v>
      </c>
      <c r="E33" s="22">
        <v>1.4910000000000001</v>
      </c>
      <c r="F33" s="17"/>
      <c r="G33" s="17"/>
    </row>
    <row r="34" spans="1:7" x14ac:dyDescent="0.2">
      <c r="A34" s="16" t="s">
        <v>5</v>
      </c>
      <c r="B34" s="16" t="s">
        <v>246</v>
      </c>
      <c r="C34" s="21">
        <v>57141.035000000003</v>
      </c>
      <c r="D34" s="21">
        <v>5520</v>
      </c>
      <c r="E34" s="22">
        <v>1.4910000000000001</v>
      </c>
      <c r="F34" s="17"/>
      <c r="G34" s="17"/>
    </row>
    <row r="35" spans="1:7" x14ac:dyDescent="0.2">
      <c r="A35" s="16" t="s">
        <v>5</v>
      </c>
      <c r="B35" s="16" t="s">
        <v>54</v>
      </c>
      <c r="C35" s="21">
        <v>57141.035000000003</v>
      </c>
      <c r="D35" s="21">
        <v>5520</v>
      </c>
      <c r="E35" s="23">
        <v>1.4910000000000001</v>
      </c>
      <c r="F35" s="17"/>
      <c r="G35" s="17"/>
    </row>
    <row r="36" spans="1:7" x14ac:dyDescent="0.2">
      <c r="A36" s="16" t="s">
        <v>5</v>
      </c>
      <c r="B36" s="16" t="s">
        <v>55</v>
      </c>
      <c r="C36" s="21">
        <v>57141.035000000003</v>
      </c>
      <c r="D36" s="21">
        <v>5520</v>
      </c>
      <c r="E36" s="23">
        <v>1.4910000000000001</v>
      </c>
      <c r="F36" s="17"/>
      <c r="G36" s="17"/>
    </row>
    <row r="37" spans="1:7" x14ac:dyDescent="0.2">
      <c r="A37" s="16" t="s">
        <v>5</v>
      </c>
      <c r="B37" s="16" t="s">
        <v>247</v>
      </c>
      <c r="C37" s="21">
        <v>57141.035000000003</v>
      </c>
      <c r="D37" s="21">
        <v>5520</v>
      </c>
      <c r="E37" s="23">
        <v>1.4910000000000001</v>
      </c>
      <c r="F37" s="17"/>
      <c r="G37" s="17"/>
    </row>
    <row r="38" spans="1:7" x14ac:dyDescent="0.2">
      <c r="A38" s="16" t="s">
        <v>6</v>
      </c>
      <c r="B38" s="16" t="s">
        <v>248</v>
      </c>
      <c r="C38" s="21">
        <v>78000</v>
      </c>
      <c r="D38" s="21">
        <v>8700</v>
      </c>
      <c r="E38" s="23">
        <v>0.84699999999999998</v>
      </c>
      <c r="F38" s="17"/>
      <c r="G38" s="17"/>
    </row>
    <row r="39" spans="1:7" x14ac:dyDescent="0.2">
      <c r="A39" s="16" t="s">
        <v>6</v>
      </c>
      <c r="B39" s="16" t="s">
        <v>249</v>
      </c>
      <c r="C39" s="21">
        <v>78000</v>
      </c>
      <c r="D39" s="21">
        <v>8700</v>
      </c>
      <c r="E39" s="23">
        <v>0.84699999999999998</v>
      </c>
      <c r="F39" s="17"/>
      <c r="G39" s="17"/>
    </row>
    <row r="40" spans="1:7" x14ac:dyDescent="0.2">
      <c r="A40" s="16" t="s">
        <v>6</v>
      </c>
      <c r="B40" s="16" t="s">
        <v>59</v>
      </c>
      <c r="C40" s="21">
        <v>78000</v>
      </c>
      <c r="D40" s="21">
        <v>8700</v>
      </c>
      <c r="E40" s="23">
        <v>0.84699999999999998</v>
      </c>
      <c r="F40" s="17"/>
      <c r="G40" s="17"/>
    </row>
    <row r="41" spans="1:7" x14ac:dyDescent="0.2">
      <c r="A41" s="16" t="s">
        <v>6</v>
      </c>
      <c r="B41" s="16" t="s">
        <v>250</v>
      </c>
      <c r="C41" s="21">
        <v>78000</v>
      </c>
      <c r="D41" s="21">
        <v>8700</v>
      </c>
      <c r="E41" s="23">
        <v>0.84699999999999998</v>
      </c>
      <c r="F41" s="17"/>
      <c r="G41" s="17"/>
    </row>
    <row r="42" spans="1:7" x14ac:dyDescent="0.2">
      <c r="A42" s="16" t="s">
        <v>6</v>
      </c>
      <c r="B42" s="16" t="s">
        <v>251</v>
      </c>
      <c r="C42" s="21">
        <v>78000</v>
      </c>
      <c r="D42" s="21">
        <v>8700</v>
      </c>
      <c r="E42" s="23">
        <v>0.84699999999999998</v>
      </c>
      <c r="F42" s="17"/>
      <c r="G42" s="17"/>
    </row>
    <row r="43" spans="1:7" x14ac:dyDescent="0.2">
      <c r="A43" s="16" t="s">
        <v>6</v>
      </c>
      <c r="B43" s="16" t="s">
        <v>252</v>
      </c>
      <c r="C43" s="21">
        <v>78000</v>
      </c>
      <c r="D43" s="21">
        <v>8700</v>
      </c>
      <c r="E43" s="23">
        <v>0.84699999999999998</v>
      </c>
      <c r="F43" s="17"/>
      <c r="G43" s="17"/>
    </row>
    <row r="44" spans="1:7" x14ac:dyDescent="0.2">
      <c r="A44" s="16" t="s">
        <v>6</v>
      </c>
      <c r="B44" s="16" t="s">
        <v>63</v>
      </c>
      <c r="C44" s="21">
        <v>78000</v>
      </c>
      <c r="D44" s="21">
        <v>8700</v>
      </c>
      <c r="E44" s="23">
        <v>0.84699999999999998</v>
      </c>
      <c r="F44" s="17"/>
      <c r="G44" s="17"/>
    </row>
    <row r="45" spans="1:7" x14ac:dyDescent="0.2">
      <c r="A45" s="16" t="s">
        <v>253</v>
      </c>
      <c r="B45" s="16" t="s">
        <v>64</v>
      </c>
      <c r="C45" s="21">
        <v>80000</v>
      </c>
      <c r="D45" s="21">
        <v>9600</v>
      </c>
      <c r="E45" s="23">
        <v>0.97</v>
      </c>
      <c r="F45" s="17"/>
      <c r="G45" s="17"/>
    </row>
    <row r="46" spans="1:7" x14ac:dyDescent="0.2">
      <c r="A46" s="16" t="s">
        <v>253</v>
      </c>
      <c r="B46" s="16" t="s">
        <v>65</v>
      </c>
      <c r="C46" s="21">
        <v>80000</v>
      </c>
      <c r="D46" s="21">
        <v>9600</v>
      </c>
      <c r="E46" s="23">
        <v>0.97</v>
      </c>
      <c r="F46" s="17"/>
      <c r="G46" s="17"/>
    </row>
    <row r="47" spans="1:7" x14ac:dyDescent="0.2">
      <c r="A47" s="16" t="s">
        <v>253</v>
      </c>
      <c r="B47" s="16" t="s">
        <v>66</v>
      </c>
      <c r="C47" s="21">
        <v>80000</v>
      </c>
      <c r="D47" s="21">
        <v>9600</v>
      </c>
      <c r="E47" s="23">
        <v>0.97</v>
      </c>
      <c r="F47" s="17"/>
      <c r="G47" s="17"/>
    </row>
    <row r="48" spans="1:7" x14ac:dyDescent="0.2">
      <c r="A48" s="16" t="s">
        <v>253</v>
      </c>
      <c r="B48" s="16" t="s">
        <v>67</v>
      </c>
      <c r="C48" s="21">
        <v>80000</v>
      </c>
      <c r="D48" s="21">
        <v>9600</v>
      </c>
      <c r="E48" s="23">
        <v>0.97</v>
      </c>
      <c r="F48" s="17"/>
      <c r="G48" s="17"/>
    </row>
    <row r="49" spans="1:7" x14ac:dyDescent="0.2">
      <c r="A49" s="16" t="s">
        <v>253</v>
      </c>
      <c r="B49" s="16" t="s">
        <v>68</v>
      </c>
      <c r="C49" s="21">
        <v>80000</v>
      </c>
      <c r="D49" s="21">
        <v>9600</v>
      </c>
      <c r="E49" s="23">
        <v>0.97</v>
      </c>
      <c r="F49" s="17"/>
      <c r="G49" s="17"/>
    </row>
    <row r="50" spans="1:7" x14ac:dyDescent="0.2">
      <c r="A50" s="16" t="s">
        <v>253</v>
      </c>
      <c r="B50" s="16" t="s">
        <v>69</v>
      </c>
      <c r="C50" s="21">
        <v>80000</v>
      </c>
      <c r="D50" s="21">
        <v>9600</v>
      </c>
      <c r="E50" s="23">
        <v>0.97</v>
      </c>
      <c r="F50" s="17"/>
      <c r="G50" s="17"/>
    </row>
    <row r="51" spans="1:7" x14ac:dyDescent="0.2">
      <c r="A51" s="16" t="s">
        <v>8</v>
      </c>
      <c r="B51" s="16" t="s">
        <v>70</v>
      </c>
      <c r="C51" s="21">
        <v>37500</v>
      </c>
      <c r="D51" s="21">
        <v>21500</v>
      </c>
      <c r="E51" s="23">
        <v>1.554</v>
      </c>
      <c r="F51" s="17"/>
      <c r="G51" s="17"/>
    </row>
    <row r="52" spans="1:7" x14ac:dyDescent="0.2">
      <c r="A52" s="16" t="s">
        <v>8</v>
      </c>
      <c r="B52" s="16" t="s">
        <v>71</v>
      </c>
      <c r="C52" s="21">
        <v>37500</v>
      </c>
      <c r="D52" s="21">
        <v>21500</v>
      </c>
      <c r="E52" s="23">
        <v>1.554</v>
      </c>
      <c r="F52" s="17"/>
      <c r="G52" s="17"/>
    </row>
    <row r="53" spans="1:7" x14ac:dyDescent="0.2">
      <c r="A53" s="16" t="s">
        <v>8</v>
      </c>
      <c r="B53" s="16" t="s">
        <v>72</v>
      </c>
      <c r="C53" s="21">
        <v>37500</v>
      </c>
      <c r="D53" s="21">
        <v>21500</v>
      </c>
      <c r="E53" s="23">
        <v>1.554</v>
      </c>
      <c r="F53" s="17"/>
      <c r="G53" s="17"/>
    </row>
    <row r="54" spans="1:7" x14ac:dyDescent="0.2">
      <c r="A54" s="16" t="s">
        <v>8</v>
      </c>
      <c r="B54" s="16" t="s">
        <v>73</v>
      </c>
      <c r="C54" s="21">
        <v>37500</v>
      </c>
      <c r="D54" s="21">
        <v>21500</v>
      </c>
      <c r="E54" s="22">
        <v>1.554</v>
      </c>
      <c r="F54" s="17"/>
      <c r="G54" s="17"/>
    </row>
    <row r="55" spans="1:7" x14ac:dyDescent="0.2">
      <c r="A55" s="16" t="s">
        <v>8</v>
      </c>
      <c r="B55" s="16" t="s">
        <v>74</v>
      </c>
      <c r="C55" s="21">
        <v>37500</v>
      </c>
      <c r="D55" s="21">
        <v>21500</v>
      </c>
      <c r="E55" s="22">
        <v>1.554</v>
      </c>
      <c r="F55" s="17"/>
      <c r="G55" s="17"/>
    </row>
    <row r="56" spans="1:7" x14ac:dyDescent="0.2">
      <c r="A56" s="16" t="s">
        <v>8</v>
      </c>
      <c r="B56" s="16" t="s">
        <v>75</v>
      </c>
      <c r="C56" s="21">
        <v>37500</v>
      </c>
      <c r="D56" s="21">
        <v>21500</v>
      </c>
      <c r="E56" s="22">
        <v>1.554</v>
      </c>
      <c r="F56" s="17"/>
      <c r="G56" s="17"/>
    </row>
    <row r="57" spans="1:7" x14ac:dyDescent="0.2">
      <c r="A57" s="16" t="s">
        <v>8</v>
      </c>
      <c r="B57" s="16" t="s">
        <v>76</v>
      </c>
      <c r="C57" s="21">
        <v>37500</v>
      </c>
      <c r="D57" s="21">
        <v>21500</v>
      </c>
      <c r="E57" s="22">
        <v>1.554</v>
      </c>
      <c r="F57" s="17"/>
      <c r="G57" s="17"/>
    </row>
    <row r="58" spans="1:7" x14ac:dyDescent="0.2">
      <c r="A58" s="16" t="s">
        <v>8</v>
      </c>
      <c r="B58" s="16" t="s">
        <v>77</v>
      </c>
      <c r="C58" s="21">
        <v>37500</v>
      </c>
      <c r="D58" s="21">
        <v>21500</v>
      </c>
      <c r="E58" s="22">
        <v>1.554</v>
      </c>
      <c r="F58" s="17"/>
      <c r="G58" s="17"/>
    </row>
    <row r="59" spans="1:7" x14ac:dyDescent="0.2">
      <c r="A59" s="16" t="s">
        <v>8</v>
      </c>
      <c r="B59" s="16" t="s">
        <v>78</v>
      </c>
      <c r="C59" s="21">
        <v>37500</v>
      </c>
      <c r="D59" s="21">
        <v>21500</v>
      </c>
      <c r="E59" s="22">
        <v>1.554</v>
      </c>
      <c r="F59" s="17"/>
      <c r="G59" s="17"/>
    </row>
    <row r="60" spans="1:7" x14ac:dyDescent="0.2">
      <c r="A60" s="16" t="s">
        <v>8</v>
      </c>
      <c r="B60" s="16" t="s">
        <v>79</v>
      </c>
      <c r="C60" s="21">
        <v>37500</v>
      </c>
      <c r="D60" s="21">
        <v>21500</v>
      </c>
      <c r="E60" s="22">
        <v>1.554</v>
      </c>
      <c r="F60" s="17"/>
      <c r="G60" s="17"/>
    </row>
    <row r="61" spans="1:7" x14ac:dyDescent="0.2">
      <c r="A61" s="16" t="s">
        <v>8</v>
      </c>
      <c r="B61" s="16" t="s">
        <v>80</v>
      </c>
      <c r="C61" s="21">
        <v>37500</v>
      </c>
      <c r="D61" s="21">
        <v>21500</v>
      </c>
      <c r="E61" s="22">
        <v>1.554</v>
      </c>
      <c r="F61" s="17"/>
      <c r="G61" s="17"/>
    </row>
    <row r="62" spans="1:7" x14ac:dyDescent="0.2">
      <c r="A62" s="16" t="s">
        <v>8</v>
      </c>
      <c r="B62" s="16" t="s">
        <v>81</v>
      </c>
      <c r="C62" s="21">
        <v>37500</v>
      </c>
      <c r="D62" s="21">
        <v>21500</v>
      </c>
      <c r="E62" s="22">
        <v>1.554</v>
      </c>
      <c r="F62" s="17"/>
      <c r="G62" s="17"/>
    </row>
    <row r="63" spans="1:7" x14ac:dyDescent="0.2">
      <c r="A63" s="16" t="s">
        <v>8</v>
      </c>
      <c r="B63" s="16" t="s">
        <v>82</v>
      </c>
      <c r="C63" s="21">
        <v>37500</v>
      </c>
      <c r="D63" s="21">
        <v>21500</v>
      </c>
      <c r="E63" s="22">
        <v>1.554</v>
      </c>
      <c r="F63" s="17"/>
      <c r="G63" s="17"/>
    </row>
    <row r="64" spans="1:7" x14ac:dyDescent="0.2">
      <c r="A64" s="16" t="s">
        <v>9</v>
      </c>
      <c r="B64" s="16" t="s">
        <v>83</v>
      </c>
      <c r="C64" s="21">
        <v>42500</v>
      </c>
      <c r="D64" s="21">
        <v>8400</v>
      </c>
      <c r="E64" s="22">
        <v>1.1830000000000001</v>
      </c>
      <c r="F64" s="17"/>
      <c r="G64" s="17"/>
    </row>
    <row r="65" spans="1:7" x14ac:dyDescent="0.2">
      <c r="A65" s="16" t="s">
        <v>9</v>
      </c>
      <c r="B65" s="16" t="s">
        <v>84</v>
      </c>
      <c r="C65" s="21">
        <v>42500</v>
      </c>
      <c r="D65" s="21">
        <v>8400</v>
      </c>
      <c r="E65" s="22">
        <v>1.1830000000000001</v>
      </c>
      <c r="F65" s="17"/>
      <c r="G65" s="17"/>
    </row>
    <row r="66" spans="1:7" x14ac:dyDescent="0.2">
      <c r="A66" s="16" t="s">
        <v>9</v>
      </c>
      <c r="B66" s="16" t="s">
        <v>85</v>
      </c>
      <c r="C66" s="21">
        <v>42500</v>
      </c>
      <c r="D66" s="21">
        <v>8400</v>
      </c>
      <c r="E66" s="22">
        <v>1.1830000000000001</v>
      </c>
      <c r="F66" s="17"/>
      <c r="G66" s="17"/>
    </row>
    <row r="67" spans="1:7" x14ac:dyDescent="0.2">
      <c r="A67" s="16" t="s">
        <v>9</v>
      </c>
      <c r="B67" s="16" t="s">
        <v>86</v>
      </c>
      <c r="C67" s="21">
        <v>42500</v>
      </c>
      <c r="D67" s="21">
        <v>8400</v>
      </c>
      <c r="E67" s="22">
        <v>1.1830000000000001</v>
      </c>
      <c r="F67" s="17"/>
      <c r="G67" s="17"/>
    </row>
    <row r="68" spans="1:7" x14ac:dyDescent="0.2">
      <c r="A68" s="16" t="s">
        <v>9</v>
      </c>
      <c r="B68" s="16" t="s">
        <v>87</v>
      </c>
      <c r="C68" s="21">
        <v>42500</v>
      </c>
      <c r="D68" s="21">
        <v>8400</v>
      </c>
      <c r="E68" s="22">
        <v>1.1830000000000001</v>
      </c>
      <c r="F68" s="17"/>
      <c r="G68" s="17"/>
    </row>
    <row r="69" spans="1:7" x14ac:dyDescent="0.2">
      <c r="A69" s="16" t="s">
        <v>9</v>
      </c>
      <c r="B69" s="16" t="s">
        <v>88</v>
      </c>
      <c r="C69" s="21">
        <v>42500</v>
      </c>
      <c r="D69" s="21">
        <v>8400</v>
      </c>
      <c r="E69" s="22">
        <v>1.1830000000000001</v>
      </c>
      <c r="F69" s="17"/>
      <c r="G69" s="17"/>
    </row>
    <row r="70" spans="1:7" x14ac:dyDescent="0.2">
      <c r="A70" s="16" t="s">
        <v>9</v>
      </c>
      <c r="B70" s="16" t="s">
        <v>89</v>
      </c>
      <c r="C70" s="21">
        <v>42500</v>
      </c>
      <c r="D70" s="21">
        <v>8400</v>
      </c>
      <c r="E70" s="22">
        <v>1.1830000000000001</v>
      </c>
      <c r="F70" s="17"/>
      <c r="G70" s="17"/>
    </row>
    <row r="71" spans="1:7" x14ac:dyDescent="0.2">
      <c r="A71" s="16" t="s">
        <v>9</v>
      </c>
      <c r="B71" s="16" t="s">
        <v>90</v>
      </c>
      <c r="C71" s="21">
        <v>42500</v>
      </c>
      <c r="D71" s="21">
        <v>8400</v>
      </c>
      <c r="E71" s="22">
        <v>1.1830000000000001</v>
      </c>
      <c r="F71" s="17"/>
      <c r="G71" s="17"/>
    </row>
    <row r="72" spans="1:7" x14ac:dyDescent="0.2">
      <c r="A72" s="16" t="s">
        <v>9</v>
      </c>
      <c r="B72" s="16" t="s">
        <v>91</v>
      </c>
      <c r="C72" s="21">
        <v>42500</v>
      </c>
      <c r="D72" s="21">
        <v>8400</v>
      </c>
      <c r="E72" s="22">
        <v>1.1830000000000001</v>
      </c>
      <c r="F72" s="17"/>
      <c r="G72" s="17"/>
    </row>
    <row r="73" spans="1:7" x14ac:dyDescent="0.2">
      <c r="A73" s="16" t="s">
        <v>9</v>
      </c>
      <c r="B73" s="16" t="s">
        <v>92</v>
      </c>
      <c r="C73" s="21">
        <v>42500</v>
      </c>
      <c r="D73" s="21">
        <v>8400</v>
      </c>
      <c r="E73" s="22">
        <v>1.1830000000000001</v>
      </c>
      <c r="F73" s="17"/>
      <c r="G73" s="17"/>
    </row>
    <row r="74" spans="1:7" x14ac:dyDescent="0.2">
      <c r="A74" s="16" t="s">
        <v>9</v>
      </c>
      <c r="B74" s="16" t="s">
        <v>93</v>
      </c>
      <c r="C74" s="21">
        <v>42500</v>
      </c>
      <c r="D74" s="21">
        <v>8400</v>
      </c>
      <c r="E74" s="22">
        <v>1.1830000000000001</v>
      </c>
      <c r="F74" s="17"/>
      <c r="G74" s="17"/>
    </row>
    <row r="75" spans="1:7" x14ac:dyDescent="0.2">
      <c r="A75" s="16" t="s">
        <v>9</v>
      </c>
      <c r="B75" s="16" t="s">
        <v>94</v>
      </c>
      <c r="C75" s="21">
        <v>42500</v>
      </c>
      <c r="D75" s="21">
        <v>8400</v>
      </c>
      <c r="E75" s="22">
        <v>1.1830000000000001</v>
      </c>
      <c r="F75" s="17"/>
      <c r="G75" s="17"/>
    </row>
    <row r="76" spans="1:7" x14ac:dyDescent="0.2">
      <c r="A76" s="16" t="s">
        <v>9</v>
      </c>
      <c r="B76" s="16" t="s">
        <v>95</v>
      </c>
      <c r="C76" s="21">
        <v>42500</v>
      </c>
      <c r="D76" s="21">
        <v>8400</v>
      </c>
      <c r="E76" s="22">
        <v>1.1830000000000001</v>
      </c>
      <c r="F76" s="17"/>
      <c r="G76" s="17"/>
    </row>
    <row r="77" spans="1:7" x14ac:dyDescent="0.2">
      <c r="A77" s="16" t="s">
        <v>9</v>
      </c>
      <c r="B77" s="16" t="s">
        <v>96</v>
      </c>
      <c r="C77" s="21">
        <v>42500</v>
      </c>
      <c r="D77" s="21">
        <v>8400</v>
      </c>
      <c r="E77" s="22">
        <v>1.1830000000000001</v>
      </c>
      <c r="F77" s="17"/>
      <c r="G77" s="17"/>
    </row>
    <row r="78" spans="1:7" x14ac:dyDescent="0.2">
      <c r="A78" s="16" t="s">
        <v>9</v>
      </c>
      <c r="B78" s="16" t="s">
        <v>97</v>
      </c>
      <c r="C78" s="21">
        <v>42500</v>
      </c>
      <c r="D78" s="21">
        <v>8400</v>
      </c>
      <c r="E78" s="22">
        <v>1.1830000000000001</v>
      </c>
      <c r="F78" s="17"/>
      <c r="G78" s="17"/>
    </row>
    <row r="79" spans="1:7" x14ac:dyDescent="0.2">
      <c r="A79" s="16" t="s">
        <v>9</v>
      </c>
      <c r="B79" s="16" t="s">
        <v>98</v>
      </c>
      <c r="C79" s="21">
        <v>42500</v>
      </c>
      <c r="D79" s="21">
        <v>8400</v>
      </c>
      <c r="E79" s="22">
        <v>1.1830000000000001</v>
      </c>
      <c r="F79" s="17"/>
      <c r="G79" s="17"/>
    </row>
    <row r="80" spans="1:7" x14ac:dyDescent="0.2">
      <c r="A80" s="16" t="s">
        <v>9</v>
      </c>
      <c r="B80" s="16" t="s">
        <v>99</v>
      </c>
      <c r="C80" s="21">
        <v>42500</v>
      </c>
      <c r="D80" s="21">
        <v>8400</v>
      </c>
      <c r="E80" s="22">
        <v>1.1830000000000001</v>
      </c>
      <c r="F80" s="17"/>
      <c r="G80" s="17"/>
    </row>
    <row r="81" spans="1:7" x14ac:dyDescent="0.2">
      <c r="A81" s="16" t="s">
        <v>9</v>
      </c>
      <c r="B81" s="16" t="s">
        <v>100</v>
      </c>
      <c r="C81" s="21">
        <v>42500</v>
      </c>
      <c r="D81" s="21">
        <v>8400</v>
      </c>
      <c r="E81" s="22">
        <v>1.1830000000000001</v>
      </c>
      <c r="F81" s="17"/>
      <c r="G81" s="17"/>
    </row>
    <row r="82" spans="1:7" x14ac:dyDescent="0.2">
      <c r="A82" s="16" t="s">
        <v>9</v>
      </c>
      <c r="B82" s="16" t="s">
        <v>101</v>
      </c>
      <c r="C82" s="21">
        <v>42500</v>
      </c>
      <c r="D82" s="21">
        <v>8400</v>
      </c>
      <c r="E82" s="22">
        <v>1.1830000000000001</v>
      </c>
      <c r="F82" s="17"/>
      <c r="G82" s="17"/>
    </row>
    <row r="83" spans="1:7" x14ac:dyDescent="0.2">
      <c r="A83" s="16" t="s">
        <v>9</v>
      </c>
      <c r="B83" s="16" t="s">
        <v>102</v>
      </c>
      <c r="C83" s="21">
        <v>42500</v>
      </c>
      <c r="D83" s="21">
        <v>8400</v>
      </c>
      <c r="E83" s="22">
        <v>1.1830000000000001</v>
      </c>
      <c r="F83" s="17"/>
      <c r="G83" s="17"/>
    </row>
    <row r="84" spans="1:7" x14ac:dyDescent="0.2">
      <c r="A84" s="16" t="s">
        <v>9</v>
      </c>
      <c r="B84" s="16" t="s">
        <v>103</v>
      </c>
      <c r="C84" s="21">
        <v>42500</v>
      </c>
      <c r="D84" s="21">
        <v>8400</v>
      </c>
      <c r="E84" s="22">
        <v>1.1830000000000001</v>
      </c>
      <c r="F84" s="17"/>
      <c r="G84" s="17"/>
    </row>
    <row r="85" spans="1:7" x14ac:dyDescent="0.2">
      <c r="A85" s="16" t="s">
        <v>9</v>
      </c>
      <c r="B85" s="16" t="s">
        <v>104</v>
      </c>
      <c r="C85" s="21">
        <v>42500</v>
      </c>
      <c r="D85" s="21">
        <v>8400</v>
      </c>
      <c r="E85" s="22">
        <v>1.1830000000000001</v>
      </c>
      <c r="F85" s="17"/>
      <c r="G85" s="17"/>
    </row>
    <row r="86" spans="1:7" x14ac:dyDescent="0.2">
      <c r="A86" s="16" t="s">
        <v>9</v>
      </c>
      <c r="B86" s="16" t="s">
        <v>105</v>
      </c>
      <c r="C86" s="21">
        <v>42500</v>
      </c>
      <c r="D86" s="21">
        <v>8400</v>
      </c>
      <c r="E86" s="22">
        <v>1.1830000000000001</v>
      </c>
      <c r="F86" s="17"/>
      <c r="G86" s="17"/>
    </row>
    <row r="87" spans="1:7" x14ac:dyDescent="0.2">
      <c r="A87" s="16" t="s">
        <v>9</v>
      </c>
      <c r="B87" s="16" t="s">
        <v>106</v>
      </c>
      <c r="C87" s="21">
        <v>42500</v>
      </c>
      <c r="D87" s="21">
        <v>8400</v>
      </c>
      <c r="E87" s="22">
        <v>1.1830000000000001</v>
      </c>
      <c r="F87" s="17"/>
      <c r="G87" s="17"/>
    </row>
    <row r="88" spans="1:7" x14ac:dyDescent="0.2">
      <c r="A88" s="16" t="s">
        <v>9</v>
      </c>
      <c r="B88" s="16" t="s">
        <v>107</v>
      </c>
      <c r="C88" s="21">
        <v>42500</v>
      </c>
      <c r="D88" s="21">
        <v>8400</v>
      </c>
      <c r="E88" s="22">
        <v>1.1830000000000001</v>
      </c>
      <c r="F88" s="17"/>
      <c r="G88" s="17"/>
    </row>
    <row r="89" spans="1:7" x14ac:dyDescent="0.2">
      <c r="A89" s="16" t="s">
        <v>226</v>
      </c>
      <c r="B89" s="16" t="s">
        <v>108</v>
      </c>
      <c r="C89" s="21">
        <v>25404</v>
      </c>
      <c r="D89" s="21">
        <v>3690</v>
      </c>
      <c r="E89" s="22">
        <v>1.0509999999999999</v>
      </c>
      <c r="F89" s="17"/>
      <c r="G89" s="17"/>
    </row>
    <row r="90" spans="1:7" x14ac:dyDescent="0.2">
      <c r="A90" s="16" t="s">
        <v>226</v>
      </c>
      <c r="B90" s="16" t="s">
        <v>254</v>
      </c>
      <c r="C90" s="21">
        <v>25404</v>
      </c>
      <c r="D90" s="21">
        <v>3690</v>
      </c>
      <c r="E90" s="22">
        <v>1.0509999999999999</v>
      </c>
      <c r="F90" s="17"/>
      <c r="G90" s="17"/>
    </row>
    <row r="91" spans="1:7" x14ac:dyDescent="0.2">
      <c r="A91" s="16" t="s">
        <v>226</v>
      </c>
      <c r="B91" s="16" t="s">
        <v>110</v>
      </c>
      <c r="C91" s="21">
        <v>25404</v>
      </c>
      <c r="D91" s="21">
        <v>3690</v>
      </c>
      <c r="E91" s="22">
        <v>1.0509999999999999</v>
      </c>
      <c r="F91" s="17"/>
      <c r="G91" s="17"/>
    </row>
    <row r="92" spans="1:7" x14ac:dyDescent="0.2">
      <c r="A92" s="16" t="s">
        <v>226</v>
      </c>
      <c r="B92" s="16" t="s">
        <v>111</v>
      </c>
      <c r="C92" s="21">
        <v>25404</v>
      </c>
      <c r="D92" s="21">
        <v>3690</v>
      </c>
      <c r="E92" s="22">
        <v>1.0509999999999999</v>
      </c>
      <c r="F92" s="17"/>
      <c r="G92" s="17"/>
    </row>
    <row r="93" spans="1:7" x14ac:dyDescent="0.2">
      <c r="A93" s="16" t="s">
        <v>226</v>
      </c>
      <c r="B93" s="16" t="s">
        <v>112</v>
      </c>
      <c r="C93" s="21">
        <v>25404</v>
      </c>
      <c r="D93" s="21">
        <v>3690</v>
      </c>
      <c r="E93" s="22">
        <v>1.0509999999999999</v>
      </c>
      <c r="F93" s="17"/>
      <c r="G93" s="17"/>
    </row>
    <row r="94" spans="1:7" x14ac:dyDescent="0.2">
      <c r="A94" s="16" t="s">
        <v>226</v>
      </c>
      <c r="B94" s="16" t="s">
        <v>113</v>
      </c>
      <c r="C94" s="21">
        <v>25404</v>
      </c>
      <c r="D94" s="21">
        <v>3690</v>
      </c>
      <c r="E94" s="22">
        <v>1.0509999999999999</v>
      </c>
      <c r="F94" s="17"/>
      <c r="G94" s="17"/>
    </row>
    <row r="95" spans="1:7" x14ac:dyDescent="0.2">
      <c r="A95" s="16" t="s">
        <v>10</v>
      </c>
      <c r="B95" s="16" t="s">
        <v>114</v>
      </c>
      <c r="C95" s="21">
        <v>24231.115000000002</v>
      </c>
      <c r="D95" s="21">
        <v>11204.16</v>
      </c>
      <c r="E95" s="22">
        <v>1.34</v>
      </c>
      <c r="F95" s="17"/>
      <c r="G95" s="17"/>
    </row>
    <row r="96" spans="1:7" x14ac:dyDescent="0.2">
      <c r="A96" s="16" t="s">
        <v>10</v>
      </c>
      <c r="B96" s="16" t="s">
        <v>115</v>
      </c>
      <c r="C96" s="21">
        <v>24231.115000000002</v>
      </c>
      <c r="D96" s="21">
        <v>11204.16</v>
      </c>
      <c r="E96" s="22">
        <v>1.34</v>
      </c>
      <c r="F96" s="17"/>
      <c r="G96" s="17"/>
    </row>
    <row r="97" spans="1:7" x14ac:dyDescent="0.2">
      <c r="A97" s="16" t="s">
        <v>10</v>
      </c>
      <c r="B97" s="16" t="s">
        <v>116</v>
      </c>
      <c r="C97" s="21">
        <v>24231.115000000002</v>
      </c>
      <c r="D97" s="21">
        <v>11204.16</v>
      </c>
      <c r="E97" s="22">
        <v>1.34</v>
      </c>
      <c r="F97" s="17"/>
      <c r="G97" s="17"/>
    </row>
    <row r="98" spans="1:7" x14ac:dyDescent="0.2">
      <c r="A98" s="16" t="s">
        <v>10</v>
      </c>
      <c r="B98" s="16" t="s">
        <v>255</v>
      </c>
      <c r="C98" s="21">
        <v>24231.115000000002</v>
      </c>
      <c r="D98" s="21">
        <v>11204.16</v>
      </c>
      <c r="E98" s="22">
        <v>1.34</v>
      </c>
      <c r="F98" s="17"/>
      <c r="G98" s="17"/>
    </row>
    <row r="99" spans="1:7" x14ac:dyDescent="0.2">
      <c r="A99" s="16" t="s">
        <v>10</v>
      </c>
      <c r="B99" s="16" t="s">
        <v>118</v>
      </c>
      <c r="C99" s="21">
        <v>24231.115000000002</v>
      </c>
      <c r="D99" s="21">
        <v>11204.16</v>
      </c>
      <c r="E99" s="22">
        <v>1.34</v>
      </c>
      <c r="F99" s="17"/>
      <c r="G99" s="17"/>
    </row>
    <row r="100" spans="1:7" x14ac:dyDescent="0.2">
      <c r="A100" s="16" t="s">
        <v>10</v>
      </c>
      <c r="B100" s="16" t="s">
        <v>119</v>
      </c>
      <c r="C100" s="21">
        <v>24231.115000000002</v>
      </c>
      <c r="D100" s="21">
        <v>11204.16</v>
      </c>
      <c r="E100" s="22">
        <v>1.34</v>
      </c>
      <c r="F100" s="17"/>
      <c r="G100" s="17"/>
    </row>
    <row r="101" spans="1:7" x14ac:dyDescent="0.2">
      <c r="A101" s="16" t="s">
        <v>10</v>
      </c>
      <c r="B101" s="16" t="s">
        <v>256</v>
      </c>
      <c r="C101" s="21">
        <v>24231.115000000002</v>
      </c>
      <c r="D101" s="21">
        <v>11204.16</v>
      </c>
      <c r="E101" s="22">
        <v>1.34</v>
      </c>
      <c r="F101" s="17"/>
      <c r="G101" s="17"/>
    </row>
    <row r="102" spans="1:7" x14ac:dyDescent="0.2">
      <c r="A102" s="16" t="s">
        <v>10</v>
      </c>
      <c r="B102" s="16" t="s">
        <v>257</v>
      </c>
      <c r="C102" s="21">
        <v>24231.115000000002</v>
      </c>
      <c r="D102" s="21">
        <v>11204.16</v>
      </c>
      <c r="E102" s="22">
        <v>1.34</v>
      </c>
      <c r="F102" s="17"/>
      <c r="G102" s="17"/>
    </row>
    <row r="103" spans="1:7" x14ac:dyDescent="0.2">
      <c r="A103" s="16" t="s">
        <v>10</v>
      </c>
      <c r="B103" s="16" t="s">
        <v>122</v>
      </c>
      <c r="C103" s="21">
        <v>24231.115000000002</v>
      </c>
      <c r="D103" s="21">
        <v>11204.16</v>
      </c>
      <c r="E103" s="22">
        <v>1.34</v>
      </c>
      <c r="F103" s="17"/>
      <c r="G103" s="17"/>
    </row>
    <row r="104" spans="1:7" x14ac:dyDescent="0.2">
      <c r="A104" s="16" t="s">
        <v>10</v>
      </c>
      <c r="B104" s="16" t="s">
        <v>123</v>
      </c>
      <c r="C104" s="21">
        <v>24231.115000000002</v>
      </c>
      <c r="D104" s="21">
        <v>11204.16</v>
      </c>
      <c r="E104" s="22">
        <v>1.34</v>
      </c>
      <c r="F104" s="17"/>
      <c r="G104" s="17"/>
    </row>
    <row r="105" spans="1:7" x14ac:dyDescent="0.2">
      <c r="A105" s="16" t="s">
        <v>10</v>
      </c>
      <c r="B105" s="16" t="s">
        <v>124</v>
      </c>
      <c r="C105" s="21">
        <v>24231.115000000002</v>
      </c>
      <c r="D105" s="21">
        <v>11204.16</v>
      </c>
      <c r="E105" s="22">
        <v>1.34</v>
      </c>
      <c r="F105" s="17"/>
      <c r="G105" s="17"/>
    </row>
    <row r="106" spans="1:7" x14ac:dyDescent="0.2">
      <c r="A106" s="16" t="s">
        <v>10</v>
      </c>
      <c r="B106" s="16" t="s">
        <v>258</v>
      </c>
      <c r="C106" s="21">
        <v>24231.115000000002</v>
      </c>
      <c r="D106" s="21">
        <v>11204.16</v>
      </c>
      <c r="E106" s="22">
        <v>1.34</v>
      </c>
      <c r="F106" s="17"/>
      <c r="G106" s="17"/>
    </row>
    <row r="107" spans="1:7" x14ac:dyDescent="0.2">
      <c r="A107" s="16" t="s">
        <v>10</v>
      </c>
      <c r="B107" s="16" t="s">
        <v>259</v>
      </c>
      <c r="C107" s="21">
        <v>24231.115000000002</v>
      </c>
      <c r="D107" s="21">
        <v>11204.16</v>
      </c>
      <c r="E107" s="22">
        <v>1.34</v>
      </c>
      <c r="F107" s="17"/>
      <c r="G107" s="17"/>
    </row>
    <row r="108" spans="1:7" x14ac:dyDescent="0.2">
      <c r="A108" s="16" t="s">
        <v>10</v>
      </c>
      <c r="B108" s="16" t="s">
        <v>127</v>
      </c>
      <c r="C108" s="21">
        <v>24231.115000000002</v>
      </c>
      <c r="D108" s="21">
        <v>11204.16</v>
      </c>
      <c r="E108" s="22">
        <v>1.34</v>
      </c>
      <c r="F108" s="17"/>
      <c r="G108" s="17"/>
    </row>
    <row r="109" spans="1:7" x14ac:dyDescent="0.2">
      <c r="A109" s="16" t="s">
        <v>10</v>
      </c>
      <c r="B109" s="16" t="s">
        <v>260</v>
      </c>
      <c r="C109" s="21">
        <v>24231.115000000002</v>
      </c>
      <c r="D109" s="21">
        <v>11204.16</v>
      </c>
      <c r="E109" s="22">
        <v>1.34</v>
      </c>
      <c r="F109" s="17"/>
      <c r="G109" s="17"/>
    </row>
    <row r="110" spans="1:7" x14ac:dyDescent="0.2">
      <c r="A110" s="16" t="s">
        <v>11</v>
      </c>
      <c r="B110" s="16" t="s">
        <v>129</v>
      </c>
      <c r="C110" s="21">
        <v>27500</v>
      </c>
      <c r="D110" s="21">
        <v>5280</v>
      </c>
      <c r="E110" s="22">
        <v>1.367</v>
      </c>
      <c r="F110" s="17"/>
      <c r="G110" s="17"/>
    </row>
    <row r="111" spans="1:7" x14ac:dyDescent="0.2">
      <c r="A111" s="16" t="s">
        <v>11</v>
      </c>
      <c r="B111" s="16" t="s">
        <v>130</v>
      </c>
      <c r="C111" s="21">
        <v>27500</v>
      </c>
      <c r="D111" s="21">
        <v>5280</v>
      </c>
      <c r="E111" s="22">
        <v>1.367</v>
      </c>
      <c r="F111" s="17"/>
      <c r="G111" s="17"/>
    </row>
    <row r="112" spans="1:7" x14ac:dyDescent="0.2">
      <c r="A112" s="16" t="s">
        <v>11</v>
      </c>
      <c r="B112" s="16" t="s">
        <v>131</v>
      </c>
      <c r="C112" s="21">
        <v>27500</v>
      </c>
      <c r="D112" s="21">
        <v>5280</v>
      </c>
      <c r="E112" s="22">
        <v>1.367</v>
      </c>
      <c r="F112" s="17"/>
      <c r="G112" s="17"/>
    </row>
    <row r="113" spans="1:7" x14ac:dyDescent="0.2">
      <c r="A113" s="16" t="s">
        <v>11</v>
      </c>
      <c r="B113" s="16" t="s">
        <v>132</v>
      </c>
      <c r="C113" s="21">
        <v>27500</v>
      </c>
      <c r="D113" s="21">
        <v>5280</v>
      </c>
      <c r="E113" s="22">
        <v>1.367</v>
      </c>
      <c r="F113" s="17"/>
      <c r="G113" s="17"/>
    </row>
    <row r="114" spans="1:7" x14ac:dyDescent="0.2">
      <c r="A114" s="16" t="s">
        <v>11</v>
      </c>
      <c r="B114" s="16" t="s">
        <v>133</v>
      </c>
      <c r="C114" s="21">
        <v>27500</v>
      </c>
      <c r="D114" s="21">
        <v>5280</v>
      </c>
      <c r="E114" s="22">
        <v>1.367</v>
      </c>
      <c r="F114" s="17"/>
      <c r="G114" s="17"/>
    </row>
    <row r="115" spans="1:7" x14ac:dyDescent="0.2">
      <c r="A115" s="16" t="s">
        <v>11</v>
      </c>
      <c r="B115" s="16" t="s">
        <v>134</v>
      </c>
      <c r="C115" s="21">
        <v>27500</v>
      </c>
      <c r="D115" s="21">
        <v>5280</v>
      </c>
      <c r="E115" s="22">
        <v>1.367</v>
      </c>
      <c r="F115" s="17"/>
      <c r="G115" s="17"/>
    </row>
    <row r="116" spans="1:7" x14ac:dyDescent="0.2">
      <c r="A116" s="16" t="s">
        <v>11</v>
      </c>
      <c r="B116" s="16" t="s">
        <v>135</v>
      </c>
      <c r="C116" s="21">
        <v>27500</v>
      </c>
      <c r="D116" s="21">
        <v>5280</v>
      </c>
      <c r="E116" s="22">
        <v>1.367</v>
      </c>
      <c r="F116" s="17"/>
      <c r="G116" s="17"/>
    </row>
    <row r="117" spans="1:7" x14ac:dyDescent="0.2">
      <c r="A117" s="16" t="s">
        <v>12</v>
      </c>
      <c r="B117" s="16" t="s">
        <v>136</v>
      </c>
      <c r="C117" s="21">
        <v>35424.58</v>
      </c>
      <c r="D117" s="21">
        <v>6900</v>
      </c>
      <c r="E117" s="24">
        <v>1.56</v>
      </c>
      <c r="F117" s="17"/>
      <c r="G117" s="17"/>
    </row>
    <row r="118" spans="1:7" x14ac:dyDescent="0.2">
      <c r="A118" s="16" t="s">
        <v>12</v>
      </c>
      <c r="B118" s="16" t="s">
        <v>137</v>
      </c>
      <c r="C118" s="21">
        <v>35424.584999999999</v>
      </c>
      <c r="D118" s="21">
        <v>6900</v>
      </c>
      <c r="E118" s="24">
        <v>1.56</v>
      </c>
      <c r="F118" s="17"/>
      <c r="G118" s="17"/>
    </row>
    <row r="119" spans="1:7" x14ac:dyDescent="0.2">
      <c r="A119" s="16" t="s">
        <v>12</v>
      </c>
      <c r="B119" s="16" t="s">
        <v>138</v>
      </c>
      <c r="C119" s="21">
        <v>35424.589999999997</v>
      </c>
      <c r="D119" s="21">
        <v>6900</v>
      </c>
      <c r="E119" s="24">
        <v>1.56</v>
      </c>
      <c r="F119" s="17"/>
      <c r="G119" s="17"/>
    </row>
    <row r="120" spans="1:7" x14ac:dyDescent="0.2">
      <c r="A120" s="16" t="s">
        <v>12</v>
      </c>
      <c r="B120" s="16" t="s">
        <v>139</v>
      </c>
      <c r="C120" s="21">
        <v>35424.595000000001</v>
      </c>
      <c r="D120" s="21">
        <v>6900</v>
      </c>
      <c r="E120" s="24">
        <v>1.56</v>
      </c>
      <c r="F120" s="17"/>
      <c r="G120" s="17"/>
    </row>
    <row r="121" spans="1:7" x14ac:dyDescent="0.2">
      <c r="A121" s="16" t="s">
        <v>12</v>
      </c>
      <c r="B121" s="16" t="s">
        <v>140</v>
      </c>
      <c r="C121" s="21">
        <v>35424.6</v>
      </c>
      <c r="D121" s="21">
        <v>6900</v>
      </c>
      <c r="E121" s="24">
        <v>1.56</v>
      </c>
      <c r="F121" s="17"/>
      <c r="G121" s="17"/>
    </row>
    <row r="122" spans="1:7" x14ac:dyDescent="0.2">
      <c r="A122" s="16" t="s">
        <v>12</v>
      </c>
      <c r="B122" s="16" t="s">
        <v>141</v>
      </c>
      <c r="C122" s="21">
        <v>35424.605000000003</v>
      </c>
      <c r="D122" s="21">
        <v>6900</v>
      </c>
      <c r="E122" s="24">
        <v>1.56</v>
      </c>
      <c r="F122" s="17"/>
      <c r="G122" s="17"/>
    </row>
    <row r="123" spans="1:7" x14ac:dyDescent="0.2">
      <c r="A123" s="16" t="s">
        <v>13</v>
      </c>
      <c r="B123" s="16" t="s">
        <v>142</v>
      </c>
      <c r="C123" s="21">
        <v>37823</v>
      </c>
      <c r="D123" s="21">
        <v>7800</v>
      </c>
      <c r="E123" s="22">
        <v>1.141</v>
      </c>
      <c r="F123" s="17"/>
      <c r="G123" s="17"/>
    </row>
    <row r="124" spans="1:7" x14ac:dyDescent="0.2">
      <c r="A124" s="16" t="s">
        <v>13</v>
      </c>
      <c r="B124" s="16" t="s">
        <v>143</v>
      </c>
      <c r="C124" s="21">
        <v>37823</v>
      </c>
      <c r="D124" s="21">
        <v>7800</v>
      </c>
      <c r="E124" s="22">
        <v>1.141</v>
      </c>
      <c r="F124" s="17"/>
      <c r="G124" s="17"/>
    </row>
    <row r="125" spans="1:7" x14ac:dyDescent="0.2">
      <c r="A125" s="16" t="s">
        <v>13</v>
      </c>
      <c r="B125" s="16" t="s">
        <v>144</v>
      </c>
      <c r="C125" s="21">
        <v>37823</v>
      </c>
      <c r="D125" s="21">
        <v>7800</v>
      </c>
      <c r="E125" s="22">
        <v>1.141</v>
      </c>
      <c r="F125" s="17"/>
      <c r="G125" s="17"/>
    </row>
    <row r="126" spans="1:7" x14ac:dyDescent="0.2">
      <c r="A126" s="16" t="s">
        <v>13</v>
      </c>
      <c r="B126" s="16" t="s">
        <v>261</v>
      </c>
      <c r="C126" s="21">
        <v>37823</v>
      </c>
      <c r="D126" s="21">
        <v>7800</v>
      </c>
      <c r="E126" s="22">
        <v>1.141</v>
      </c>
      <c r="F126" s="17"/>
      <c r="G126" s="17"/>
    </row>
    <row r="127" spans="1:7" x14ac:dyDescent="0.2">
      <c r="A127" s="16" t="s">
        <v>13</v>
      </c>
      <c r="B127" s="16" t="s">
        <v>262</v>
      </c>
      <c r="C127" s="21">
        <v>37823</v>
      </c>
      <c r="D127" s="21">
        <v>7800</v>
      </c>
      <c r="E127" s="22">
        <v>1.141</v>
      </c>
      <c r="F127" s="17"/>
      <c r="G127" s="17"/>
    </row>
    <row r="128" spans="1:7" x14ac:dyDescent="0.2">
      <c r="A128" s="16" t="s">
        <v>13</v>
      </c>
      <c r="B128" s="16" t="s">
        <v>263</v>
      </c>
      <c r="C128" s="21">
        <v>37823</v>
      </c>
      <c r="D128" s="21">
        <v>7800</v>
      </c>
      <c r="E128" s="22">
        <v>1.141</v>
      </c>
      <c r="F128" s="17"/>
      <c r="G128" s="17"/>
    </row>
    <row r="129" spans="1:7" x14ac:dyDescent="0.2">
      <c r="A129" s="16" t="s">
        <v>13</v>
      </c>
      <c r="B129" s="16" t="s">
        <v>264</v>
      </c>
      <c r="C129" s="21">
        <v>37823</v>
      </c>
      <c r="D129" s="21">
        <v>7800</v>
      </c>
      <c r="E129" s="22">
        <v>1.141</v>
      </c>
      <c r="F129" s="17"/>
      <c r="G129" s="17"/>
    </row>
    <row r="130" spans="1:7" x14ac:dyDescent="0.2">
      <c r="A130" s="16" t="s">
        <v>13</v>
      </c>
      <c r="B130" s="16" t="s">
        <v>149</v>
      </c>
      <c r="C130" s="21">
        <v>37823</v>
      </c>
      <c r="D130" s="21">
        <v>7800</v>
      </c>
      <c r="E130" s="22">
        <v>1.141</v>
      </c>
      <c r="F130" s="17"/>
      <c r="G130" s="17"/>
    </row>
    <row r="131" spans="1:7" x14ac:dyDescent="0.2">
      <c r="A131" s="16" t="s">
        <v>13</v>
      </c>
      <c r="B131" s="16" t="s">
        <v>150</v>
      </c>
      <c r="C131" s="21">
        <v>37823</v>
      </c>
      <c r="D131" s="21">
        <v>7800</v>
      </c>
      <c r="E131" s="22">
        <v>1.141</v>
      </c>
      <c r="F131" s="17"/>
      <c r="G131" s="17"/>
    </row>
    <row r="132" spans="1:7" x14ac:dyDescent="0.2">
      <c r="A132" s="16" t="s">
        <v>13</v>
      </c>
      <c r="B132" s="16" t="s">
        <v>151</v>
      </c>
      <c r="C132" s="21">
        <v>37823</v>
      </c>
      <c r="D132" s="21">
        <v>7800</v>
      </c>
      <c r="E132" s="22">
        <v>1.141</v>
      </c>
      <c r="F132" s="17"/>
      <c r="G132" s="17"/>
    </row>
    <row r="133" spans="1:7" x14ac:dyDescent="0.2">
      <c r="A133" s="16" t="s">
        <v>13</v>
      </c>
      <c r="B133" s="16" t="s">
        <v>152</v>
      </c>
      <c r="C133" s="21">
        <v>37823</v>
      </c>
      <c r="D133" s="21">
        <v>7800</v>
      </c>
      <c r="E133" s="22">
        <v>1.141</v>
      </c>
      <c r="F133" s="17"/>
      <c r="G133" s="17"/>
    </row>
    <row r="134" spans="1:7" x14ac:dyDescent="0.2">
      <c r="A134" s="16" t="s">
        <v>13</v>
      </c>
      <c r="B134" s="16" t="s">
        <v>153</v>
      </c>
      <c r="C134" s="21">
        <v>37823</v>
      </c>
      <c r="D134" s="21">
        <v>7800</v>
      </c>
      <c r="E134" s="22">
        <v>1.141</v>
      </c>
      <c r="F134" s="17"/>
      <c r="G134" s="17"/>
    </row>
    <row r="135" spans="1:7" x14ac:dyDescent="0.2">
      <c r="A135" s="16" t="s">
        <v>13</v>
      </c>
      <c r="B135" s="16" t="s">
        <v>154</v>
      </c>
      <c r="C135" s="21">
        <v>37823</v>
      </c>
      <c r="D135" s="21">
        <v>7800</v>
      </c>
      <c r="E135" s="22">
        <v>1.141</v>
      </c>
      <c r="F135" s="17"/>
      <c r="G135" s="17"/>
    </row>
    <row r="136" spans="1:7" x14ac:dyDescent="0.2">
      <c r="A136" s="16" t="s">
        <v>13</v>
      </c>
      <c r="B136" s="16" t="s">
        <v>155</v>
      </c>
      <c r="C136" s="21">
        <v>37823</v>
      </c>
      <c r="D136" s="21">
        <v>7800</v>
      </c>
      <c r="E136" s="22">
        <v>1.141</v>
      </c>
      <c r="F136" s="17"/>
      <c r="G136" s="17"/>
    </row>
    <row r="137" spans="1:7" x14ac:dyDescent="0.2">
      <c r="A137" s="16" t="s">
        <v>13</v>
      </c>
      <c r="B137" s="16" t="s">
        <v>156</v>
      </c>
      <c r="C137" s="21">
        <v>37823</v>
      </c>
      <c r="D137" s="21">
        <v>7800</v>
      </c>
      <c r="E137" s="22">
        <v>1.141</v>
      </c>
      <c r="F137" s="17"/>
      <c r="G137" s="17"/>
    </row>
    <row r="138" spans="1:7" x14ac:dyDescent="0.2">
      <c r="A138" s="16" t="s">
        <v>14</v>
      </c>
      <c r="B138" s="16" t="s">
        <v>157</v>
      </c>
      <c r="C138" s="21">
        <v>55000</v>
      </c>
      <c r="D138" s="21">
        <v>11750</v>
      </c>
      <c r="E138" s="22">
        <v>3.843</v>
      </c>
      <c r="F138" s="17"/>
      <c r="G138" s="17"/>
    </row>
    <row r="139" spans="1:7" x14ac:dyDescent="0.2">
      <c r="A139" s="16" t="s">
        <v>14</v>
      </c>
      <c r="B139" s="16" t="s">
        <v>158</v>
      </c>
      <c r="C139" s="21">
        <v>55000</v>
      </c>
      <c r="D139" s="21">
        <v>11750</v>
      </c>
      <c r="E139" s="22">
        <v>3.843</v>
      </c>
      <c r="F139" s="17"/>
      <c r="G139" s="17"/>
    </row>
    <row r="140" spans="1:7" x14ac:dyDescent="0.2">
      <c r="A140" s="16" t="s">
        <v>15</v>
      </c>
      <c r="B140" s="16" t="s">
        <v>159</v>
      </c>
      <c r="C140" s="21">
        <v>62117.94</v>
      </c>
      <c r="D140" s="21">
        <v>13250</v>
      </c>
      <c r="E140" s="22">
        <v>1.554</v>
      </c>
      <c r="F140" s="17"/>
      <c r="G140" s="17"/>
    </row>
    <row r="141" spans="1:7" x14ac:dyDescent="0.2">
      <c r="A141" s="16" t="s">
        <v>15</v>
      </c>
      <c r="B141" s="16" t="s">
        <v>160</v>
      </c>
      <c r="C141" s="21">
        <v>62117.94</v>
      </c>
      <c r="D141" s="21">
        <v>13250</v>
      </c>
      <c r="E141" s="22">
        <v>1.554</v>
      </c>
      <c r="F141" s="17"/>
      <c r="G141" s="17"/>
    </row>
    <row r="142" spans="1:7" x14ac:dyDescent="0.2">
      <c r="A142" s="16" t="s">
        <v>15</v>
      </c>
      <c r="B142" s="16" t="s">
        <v>161</v>
      </c>
      <c r="C142" s="21">
        <v>62117.94</v>
      </c>
      <c r="D142" s="21">
        <v>13250</v>
      </c>
      <c r="E142" s="22">
        <v>1.554</v>
      </c>
      <c r="F142" s="17"/>
      <c r="G142" s="17"/>
    </row>
    <row r="143" spans="1:7" x14ac:dyDescent="0.2">
      <c r="A143" s="16" t="s">
        <v>16</v>
      </c>
      <c r="B143" s="16" t="s">
        <v>162</v>
      </c>
      <c r="C143" s="21">
        <v>18388.599999999999</v>
      </c>
      <c r="D143" s="21">
        <v>9600</v>
      </c>
      <c r="E143" s="22">
        <v>1.466</v>
      </c>
      <c r="F143" s="17"/>
      <c r="G143" s="17"/>
    </row>
    <row r="144" spans="1:7" x14ac:dyDescent="0.2">
      <c r="A144" s="16" t="s">
        <v>16</v>
      </c>
      <c r="B144" s="16" t="s">
        <v>163</v>
      </c>
      <c r="C144" s="21">
        <v>18388.599999999999</v>
      </c>
      <c r="D144" s="21">
        <v>9600</v>
      </c>
      <c r="E144" s="22">
        <v>1.466</v>
      </c>
      <c r="F144" s="17"/>
      <c r="G144" s="17"/>
    </row>
    <row r="145" spans="1:7" x14ac:dyDescent="0.2">
      <c r="A145" s="16" t="s">
        <v>16</v>
      </c>
      <c r="B145" s="16" t="s">
        <v>164</v>
      </c>
      <c r="C145" s="21">
        <v>18388.599999999999</v>
      </c>
      <c r="D145" s="21">
        <v>9600</v>
      </c>
      <c r="E145" s="22">
        <v>1.466</v>
      </c>
      <c r="F145" s="17"/>
      <c r="G145" s="17"/>
    </row>
    <row r="146" spans="1:7" x14ac:dyDescent="0.2">
      <c r="A146" s="16" t="s">
        <v>16</v>
      </c>
      <c r="B146" s="16" t="s">
        <v>165</v>
      </c>
      <c r="C146" s="21">
        <v>18388.599999999999</v>
      </c>
      <c r="D146" s="21">
        <v>9600</v>
      </c>
      <c r="E146" s="22">
        <v>1.466</v>
      </c>
      <c r="F146" s="17"/>
      <c r="G146" s="17"/>
    </row>
    <row r="147" spans="1:7" x14ac:dyDescent="0.2">
      <c r="A147" s="16" t="s">
        <v>17</v>
      </c>
      <c r="B147" s="16" t="s">
        <v>166</v>
      </c>
      <c r="C147" s="21">
        <v>5515.2749999999996</v>
      </c>
      <c r="D147" s="21">
        <v>8400</v>
      </c>
      <c r="E147" s="22">
        <v>0.93300000000000005</v>
      </c>
      <c r="F147" s="17"/>
      <c r="G147" s="17"/>
    </row>
    <row r="148" spans="1:7" x14ac:dyDescent="0.2">
      <c r="A148" s="16" t="s">
        <v>17</v>
      </c>
      <c r="B148" s="16" t="s">
        <v>265</v>
      </c>
      <c r="C148" s="21">
        <v>5515.2749999999996</v>
      </c>
      <c r="D148" s="21">
        <v>8400</v>
      </c>
      <c r="E148" s="22">
        <v>0.93300000000000005</v>
      </c>
      <c r="F148" s="17"/>
      <c r="G148" s="17"/>
    </row>
    <row r="149" spans="1:7" x14ac:dyDescent="0.2">
      <c r="A149" s="16" t="s">
        <v>17</v>
      </c>
      <c r="B149" s="16" t="s">
        <v>168</v>
      </c>
      <c r="C149" s="21">
        <v>5515.2749999999996</v>
      </c>
      <c r="D149" s="21">
        <v>8400</v>
      </c>
      <c r="E149" s="22">
        <v>0.93300000000000005</v>
      </c>
      <c r="F149" s="17"/>
      <c r="G149" s="17"/>
    </row>
    <row r="150" spans="1:7" x14ac:dyDescent="0.2">
      <c r="A150" s="16" t="s">
        <v>17</v>
      </c>
      <c r="B150" s="16" t="s">
        <v>169</v>
      </c>
      <c r="C150" s="21">
        <v>5515.2749999999996</v>
      </c>
      <c r="D150" s="21">
        <v>8400</v>
      </c>
      <c r="E150" s="22">
        <v>0.93300000000000005</v>
      </c>
      <c r="F150" s="17"/>
      <c r="G150" s="17"/>
    </row>
    <row r="151" spans="1:7" x14ac:dyDescent="0.2">
      <c r="A151" s="16" t="s">
        <v>17</v>
      </c>
      <c r="B151" s="16" t="s">
        <v>170</v>
      </c>
      <c r="C151" s="21">
        <v>5515.2749999999996</v>
      </c>
      <c r="D151" s="21">
        <v>8400</v>
      </c>
      <c r="E151" s="22">
        <v>0.93300000000000005</v>
      </c>
      <c r="F151" s="17"/>
      <c r="G151" s="17"/>
    </row>
    <row r="152" spans="1:7" x14ac:dyDescent="0.2">
      <c r="A152" s="16" t="s">
        <v>17</v>
      </c>
      <c r="B152" s="16" t="s">
        <v>171</v>
      </c>
      <c r="C152" s="21">
        <v>5515.2749999999996</v>
      </c>
      <c r="D152" s="21">
        <v>8400</v>
      </c>
      <c r="E152" s="22">
        <v>0.93300000000000005</v>
      </c>
      <c r="F152" s="17"/>
      <c r="G152" s="17"/>
    </row>
    <row r="153" spans="1:7" x14ac:dyDescent="0.2">
      <c r="A153" s="16" t="s">
        <v>17</v>
      </c>
      <c r="B153" s="16" t="s">
        <v>172</v>
      </c>
      <c r="C153" s="21">
        <v>5515.2749999999996</v>
      </c>
      <c r="D153" s="21">
        <v>8400</v>
      </c>
      <c r="E153" s="22">
        <v>0.93300000000000005</v>
      </c>
      <c r="F153" s="17"/>
      <c r="G153" s="17"/>
    </row>
    <row r="154" spans="1:7" x14ac:dyDescent="0.2">
      <c r="A154" s="16" t="s">
        <v>17</v>
      </c>
      <c r="B154" s="16" t="s">
        <v>266</v>
      </c>
      <c r="C154" s="21">
        <v>5515.2749999999996</v>
      </c>
      <c r="D154" s="21">
        <v>8400</v>
      </c>
      <c r="E154" s="22">
        <v>0.93300000000000005</v>
      </c>
      <c r="F154" s="17"/>
      <c r="G154" s="17"/>
    </row>
    <row r="155" spans="1:7" x14ac:dyDescent="0.2">
      <c r="A155" s="16" t="s">
        <v>17</v>
      </c>
      <c r="B155" s="16" t="s">
        <v>174</v>
      </c>
      <c r="C155" s="21">
        <v>5515.2749999999996</v>
      </c>
      <c r="D155" s="21">
        <v>8400</v>
      </c>
      <c r="E155" s="22">
        <v>0.93300000000000005</v>
      </c>
      <c r="F155" s="17"/>
      <c r="G155" s="17"/>
    </row>
    <row r="156" spans="1:7" x14ac:dyDescent="0.2">
      <c r="A156" s="16" t="s">
        <v>17</v>
      </c>
      <c r="B156" s="16" t="s">
        <v>175</v>
      </c>
      <c r="C156" s="21">
        <v>5515.2749999999996</v>
      </c>
      <c r="D156" s="21">
        <v>8400</v>
      </c>
      <c r="E156" s="22">
        <v>0.93300000000000005</v>
      </c>
      <c r="F156" s="17"/>
      <c r="G156" s="17"/>
    </row>
    <row r="157" spans="1:7" x14ac:dyDescent="0.2">
      <c r="A157" s="16" t="s">
        <v>17</v>
      </c>
      <c r="B157" s="16" t="s">
        <v>176</v>
      </c>
      <c r="C157" s="21">
        <v>5515.2749999999996</v>
      </c>
      <c r="D157" s="21">
        <v>8400</v>
      </c>
      <c r="E157" s="22">
        <v>0.93300000000000005</v>
      </c>
      <c r="F157" s="17"/>
      <c r="G157" s="17"/>
    </row>
    <row r="158" spans="1:7" x14ac:dyDescent="0.2">
      <c r="A158" s="16" t="s">
        <v>17</v>
      </c>
      <c r="B158" s="16" t="s">
        <v>177</v>
      </c>
      <c r="C158" s="21">
        <v>5515.2749999999996</v>
      </c>
      <c r="D158" s="21">
        <v>8400</v>
      </c>
      <c r="E158" s="22">
        <v>0.93300000000000005</v>
      </c>
      <c r="F158" s="17"/>
      <c r="G158" s="17"/>
    </row>
    <row r="159" spans="1:7" x14ac:dyDescent="0.2">
      <c r="A159" s="16" t="s">
        <v>17</v>
      </c>
      <c r="B159" s="16" t="s">
        <v>178</v>
      </c>
      <c r="C159" s="21">
        <v>5515.2749999999996</v>
      </c>
      <c r="D159" s="21">
        <v>8400</v>
      </c>
      <c r="E159" s="22">
        <v>0.93300000000000005</v>
      </c>
      <c r="F159" s="17"/>
      <c r="G159" s="17"/>
    </row>
    <row r="160" spans="1:7" x14ac:dyDescent="0.2">
      <c r="A160" s="16" t="s">
        <v>17</v>
      </c>
      <c r="B160" s="16" t="s">
        <v>179</v>
      </c>
      <c r="C160" s="21">
        <v>5515.2749999999996</v>
      </c>
      <c r="D160" s="21">
        <v>8400</v>
      </c>
      <c r="E160" s="22">
        <v>0.93300000000000005</v>
      </c>
      <c r="F160" s="17"/>
      <c r="G160" s="17"/>
    </row>
    <row r="161" spans="1:7" x14ac:dyDescent="0.2">
      <c r="A161" s="16" t="s">
        <v>17</v>
      </c>
      <c r="B161" s="16" t="s">
        <v>180</v>
      </c>
      <c r="C161" s="21">
        <v>5515.2749999999996</v>
      </c>
      <c r="D161" s="21">
        <v>8400</v>
      </c>
      <c r="E161" s="22">
        <v>0.93300000000000005</v>
      </c>
      <c r="F161" s="17"/>
      <c r="G161" s="17"/>
    </row>
    <row r="162" spans="1:7" x14ac:dyDescent="0.2">
      <c r="A162" s="16" t="s">
        <v>17</v>
      </c>
      <c r="B162" s="16" t="s">
        <v>181</v>
      </c>
      <c r="C162" s="21">
        <v>5515.2749999999996</v>
      </c>
      <c r="D162" s="21">
        <v>8400</v>
      </c>
      <c r="E162" s="22">
        <v>0.93300000000000005</v>
      </c>
      <c r="F162" s="17"/>
      <c r="G162" s="17"/>
    </row>
    <row r="163" spans="1:7" x14ac:dyDescent="0.2">
      <c r="A163" s="16" t="s">
        <v>17</v>
      </c>
      <c r="B163" s="16" t="s">
        <v>182</v>
      </c>
      <c r="C163" s="21">
        <v>5515.2749999999996</v>
      </c>
      <c r="D163" s="21">
        <v>8400</v>
      </c>
      <c r="E163" s="22">
        <v>0.93300000000000005</v>
      </c>
      <c r="F163" s="17"/>
      <c r="G163" s="17"/>
    </row>
    <row r="164" spans="1:7" x14ac:dyDescent="0.2">
      <c r="A164" s="16" t="s">
        <v>17</v>
      </c>
      <c r="B164" s="16" t="s">
        <v>183</v>
      </c>
      <c r="C164" s="21">
        <v>5515.2749999999996</v>
      </c>
      <c r="D164" s="21">
        <v>8400</v>
      </c>
      <c r="E164" s="22">
        <v>0.93300000000000005</v>
      </c>
      <c r="F164" s="17"/>
      <c r="G164" s="17"/>
    </row>
    <row r="165" spans="1:7" x14ac:dyDescent="0.2">
      <c r="A165" s="16" t="s">
        <v>17</v>
      </c>
      <c r="B165" s="16" t="s">
        <v>184</v>
      </c>
      <c r="C165" s="21">
        <v>5515.2749999999996</v>
      </c>
      <c r="D165" s="21">
        <v>8400</v>
      </c>
      <c r="E165" s="22">
        <v>0.93300000000000005</v>
      </c>
      <c r="F165" s="17"/>
      <c r="G165" s="17"/>
    </row>
    <row r="166" spans="1:7" x14ac:dyDescent="0.2">
      <c r="A166" s="16" t="s">
        <v>17</v>
      </c>
      <c r="B166" s="16" t="s">
        <v>185</v>
      </c>
      <c r="C166" s="21">
        <v>5515.2749999999996</v>
      </c>
      <c r="D166" s="21">
        <v>8400</v>
      </c>
      <c r="E166" s="22">
        <v>0.93300000000000005</v>
      </c>
      <c r="F166" s="17"/>
      <c r="G166" s="17"/>
    </row>
    <row r="167" spans="1:7" x14ac:dyDescent="0.2">
      <c r="A167" s="16" t="s">
        <v>17</v>
      </c>
      <c r="B167" s="16" t="s">
        <v>186</v>
      </c>
      <c r="C167" s="21">
        <v>5515.2749999999996</v>
      </c>
      <c r="D167" s="21">
        <v>8400</v>
      </c>
      <c r="E167" s="22">
        <v>0.93300000000000005</v>
      </c>
      <c r="F167" s="17"/>
      <c r="G167" s="17"/>
    </row>
    <row r="168" spans="1:7" x14ac:dyDescent="0.2">
      <c r="A168" s="16" t="s">
        <v>17</v>
      </c>
      <c r="B168" s="16" t="s">
        <v>187</v>
      </c>
      <c r="C168" s="21">
        <v>5515.2749999999996</v>
      </c>
      <c r="D168" s="21">
        <v>8400</v>
      </c>
      <c r="E168" s="22">
        <v>0.93300000000000005</v>
      </c>
      <c r="F168" s="17"/>
      <c r="G168" s="17"/>
    </row>
    <row r="169" spans="1:7" x14ac:dyDescent="0.2">
      <c r="A169" s="16" t="s">
        <v>17</v>
      </c>
      <c r="B169" s="16" t="s">
        <v>188</v>
      </c>
      <c r="C169" s="21">
        <v>5515.2749999999996</v>
      </c>
      <c r="D169" s="21">
        <v>8400</v>
      </c>
      <c r="E169" s="22">
        <v>0.93300000000000005</v>
      </c>
      <c r="F169" s="17"/>
      <c r="G169" s="17"/>
    </row>
    <row r="170" spans="1:7" x14ac:dyDescent="0.2">
      <c r="A170" s="16" t="s">
        <v>17</v>
      </c>
      <c r="B170" s="16" t="s">
        <v>189</v>
      </c>
      <c r="C170" s="21">
        <v>5515.2749999999996</v>
      </c>
      <c r="D170" s="21">
        <v>8400</v>
      </c>
      <c r="E170" s="22">
        <v>0.93300000000000005</v>
      </c>
      <c r="F170" s="17"/>
      <c r="G170" s="17"/>
    </row>
    <row r="171" spans="1:7" x14ac:dyDescent="0.2">
      <c r="A171" s="16" t="s">
        <v>17</v>
      </c>
      <c r="B171" s="16" t="s">
        <v>190</v>
      </c>
      <c r="C171" s="21">
        <v>5515.2749999999996</v>
      </c>
      <c r="D171" s="21">
        <v>8400</v>
      </c>
      <c r="E171" s="22">
        <v>0.93300000000000005</v>
      </c>
      <c r="F171" s="17"/>
      <c r="G171" s="17"/>
    </row>
    <row r="172" spans="1:7" x14ac:dyDescent="0.2">
      <c r="A172" s="16" t="s">
        <v>17</v>
      </c>
      <c r="B172" s="16" t="s">
        <v>191</v>
      </c>
      <c r="C172" s="21">
        <v>5515.2749999999996</v>
      </c>
      <c r="D172" s="21">
        <v>8400</v>
      </c>
      <c r="E172" s="22">
        <v>0.93300000000000005</v>
      </c>
      <c r="F172" s="17"/>
      <c r="G172" s="17"/>
    </row>
    <row r="173" spans="1:7" x14ac:dyDescent="0.2">
      <c r="A173" s="16" t="s">
        <v>17</v>
      </c>
      <c r="B173" s="16" t="s">
        <v>192</v>
      </c>
      <c r="C173" s="21">
        <v>5515.2749999999996</v>
      </c>
      <c r="D173" s="21">
        <v>8400</v>
      </c>
      <c r="E173" s="22">
        <v>0.93300000000000005</v>
      </c>
      <c r="F173" s="17"/>
      <c r="G173" s="17"/>
    </row>
    <row r="174" spans="1:7" x14ac:dyDescent="0.2">
      <c r="A174" s="16" t="s">
        <v>17</v>
      </c>
      <c r="B174" s="16" t="s">
        <v>193</v>
      </c>
      <c r="C174" s="21">
        <v>5515.2749999999996</v>
      </c>
      <c r="D174" s="21">
        <v>8400</v>
      </c>
      <c r="E174" s="22">
        <v>0.93300000000000005</v>
      </c>
      <c r="F174" s="17"/>
      <c r="G174" s="17"/>
    </row>
    <row r="175" spans="1:7" x14ac:dyDescent="0.2">
      <c r="A175" s="16" t="s">
        <v>17</v>
      </c>
      <c r="B175" s="16" t="s">
        <v>194</v>
      </c>
      <c r="C175" s="21">
        <v>5515.2749999999996</v>
      </c>
      <c r="D175" s="21">
        <v>8400</v>
      </c>
      <c r="E175" s="22">
        <v>0.93300000000000005</v>
      </c>
      <c r="F175" s="17"/>
      <c r="G175" s="17"/>
    </row>
    <row r="176" spans="1:7" x14ac:dyDescent="0.2">
      <c r="A176" s="16" t="s">
        <v>17</v>
      </c>
      <c r="B176" s="16" t="s">
        <v>195</v>
      </c>
      <c r="C176" s="21">
        <v>5515.2749999999996</v>
      </c>
      <c r="D176" s="21">
        <v>8400</v>
      </c>
      <c r="E176" s="23">
        <v>0.93300000000000005</v>
      </c>
      <c r="F176" s="17"/>
      <c r="G176" s="17"/>
    </row>
    <row r="177" spans="1:7" x14ac:dyDescent="0.2">
      <c r="A177" s="16" t="s">
        <v>18</v>
      </c>
      <c r="B177" s="16" t="s">
        <v>119</v>
      </c>
      <c r="C177" s="21">
        <v>32500</v>
      </c>
      <c r="D177" s="21">
        <v>7200</v>
      </c>
      <c r="E177" s="23">
        <v>1.7789999999999999</v>
      </c>
      <c r="F177" s="17"/>
      <c r="G177" s="17"/>
    </row>
    <row r="178" spans="1:7" x14ac:dyDescent="0.2">
      <c r="A178" s="16" t="s">
        <v>18</v>
      </c>
      <c r="B178" s="16" t="s">
        <v>122</v>
      </c>
      <c r="C178" s="21">
        <v>32500</v>
      </c>
      <c r="D178" s="21">
        <v>7200</v>
      </c>
      <c r="E178" s="23">
        <v>1.7789999999999999</v>
      </c>
      <c r="F178" s="17"/>
      <c r="G178" s="17"/>
    </row>
    <row r="179" spans="1:7" x14ac:dyDescent="0.2">
      <c r="A179" s="16" t="s">
        <v>18</v>
      </c>
      <c r="B179" s="16" t="s">
        <v>267</v>
      </c>
      <c r="C179" s="21">
        <v>32500</v>
      </c>
      <c r="D179" s="21">
        <v>7200</v>
      </c>
      <c r="E179" s="23">
        <v>1.7789999999999999</v>
      </c>
      <c r="F179" s="17"/>
      <c r="G179" s="17"/>
    </row>
    <row r="180" spans="1:7" x14ac:dyDescent="0.2">
      <c r="A180" s="16" t="s">
        <v>268</v>
      </c>
      <c r="B180" s="16" t="s">
        <v>269</v>
      </c>
      <c r="C180" s="21">
        <v>21000</v>
      </c>
      <c r="D180" s="21">
        <v>4500</v>
      </c>
      <c r="E180" s="23">
        <v>2.6</v>
      </c>
      <c r="F180" s="17"/>
      <c r="G180" s="17"/>
    </row>
    <row r="181" spans="1:7" x14ac:dyDescent="0.2">
      <c r="A181" s="16" t="s">
        <v>268</v>
      </c>
      <c r="B181" s="16" t="s">
        <v>270</v>
      </c>
      <c r="C181" s="21">
        <v>21000</v>
      </c>
      <c r="D181" s="21">
        <v>4500</v>
      </c>
      <c r="E181" s="23">
        <v>2.6</v>
      </c>
      <c r="F181" s="17"/>
      <c r="G181" s="17"/>
    </row>
    <row r="182" spans="1:7" x14ac:dyDescent="0.2">
      <c r="A182" s="16" t="s">
        <v>268</v>
      </c>
      <c r="B182" s="16" t="s">
        <v>199</v>
      </c>
      <c r="C182" s="21">
        <v>21000</v>
      </c>
      <c r="D182" s="21">
        <v>4500</v>
      </c>
      <c r="E182" s="23">
        <v>2.6</v>
      </c>
      <c r="F182" s="17"/>
      <c r="G182" s="17"/>
    </row>
    <row r="183" spans="1:7" x14ac:dyDescent="0.2">
      <c r="A183" s="16" t="s">
        <v>268</v>
      </c>
      <c r="B183" s="16" t="s">
        <v>200</v>
      </c>
      <c r="C183" s="21">
        <v>21000</v>
      </c>
      <c r="D183" s="21">
        <v>4500</v>
      </c>
      <c r="E183" s="23">
        <v>2.6</v>
      </c>
      <c r="F183" s="17"/>
      <c r="G183" s="17"/>
    </row>
    <row r="184" spans="1:7" x14ac:dyDescent="0.2">
      <c r="A184" s="16" t="s">
        <v>268</v>
      </c>
      <c r="B184" s="16" t="s">
        <v>271</v>
      </c>
      <c r="C184" s="21">
        <v>21000</v>
      </c>
      <c r="D184" s="21">
        <v>4500</v>
      </c>
      <c r="E184" s="23">
        <v>2.6</v>
      </c>
      <c r="F184" s="17"/>
      <c r="G184" s="17"/>
    </row>
    <row r="185" spans="1:7" x14ac:dyDescent="0.2">
      <c r="A185" s="16" t="s">
        <v>268</v>
      </c>
      <c r="B185" s="16" t="s">
        <v>272</v>
      </c>
      <c r="C185" s="21">
        <v>21000</v>
      </c>
      <c r="D185" s="21">
        <v>4500</v>
      </c>
      <c r="E185" s="23">
        <v>2.6</v>
      </c>
      <c r="F185" s="17"/>
      <c r="G185" s="17"/>
    </row>
    <row r="186" spans="1:7" x14ac:dyDescent="0.2">
      <c r="A186" s="16" t="s">
        <v>268</v>
      </c>
      <c r="B186" s="16" t="s">
        <v>203</v>
      </c>
      <c r="C186" s="21">
        <v>21000</v>
      </c>
      <c r="D186" s="21">
        <v>4500</v>
      </c>
      <c r="E186" s="23">
        <v>2.6</v>
      </c>
      <c r="F186" s="17"/>
      <c r="G186" s="17"/>
    </row>
    <row r="187" spans="1:7" x14ac:dyDescent="0.2">
      <c r="A187" s="16" t="s">
        <v>268</v>
      </c>
      <c r="B187" s="16" t="s">
        <v>273</v>
      </c>
      <c r="C187" s="21">
        <v>21000</v>
      </c>
      <c r="D187" s="21">
        <v>4500</v>
      </c>
      <c r="E187" s="23">
        <v>2.6</v>
      </c>
      <c r="F187" s="17"/>
      <c r="G187" s="17"/>
    </row>
    <row r="188" spans="1:7" x14ac:dyDescent="0.2">
      <c r="A188" s="16" t="s">
        <v>268</v>
      </c>
      <c r="B188" s="16" t="s">
        <v>274</v>
      </c>
      <c r="C188" s="21">
        <v>21000</v>
      </c>
      <c r="D188" s="21">
        <v>4500</v>
      </c>
      <c r="E188" s="23">
        <v>2.6</v>
      </c>
      <c r="F188" s="17"/>
      <c r="G188" s="17"/>
    </row>
    <row r="189" spans="1:7" x14ac:dyDescent="0.2">
      <c r="A189" s="16" t="s">
        <v>20</v>
      </c>
      <c r="B189" s="16" t="s">
        <v>206</v>
      </c>
      <c r="C189" s="21">
        <v>17127.57</v>
      </c>
      <c r="D189" s="21">
        <v>8100</v>
      </c>
      <c r="E189" s="23">
        <v>1.571</v>
      </c>
      <c r="F189" s="17"/>
      <c r="G189" s="17"/>
    </row>
    <row r="190" spans="1:7" x14ac:dyDescent="0.2">
      <c r="A190" s="16" t="s">
        <v>20</v>
      </c>
      <c r="B190" s="16" t="s">
        <v>207</v>
      </c>
      <c r="C190" s="21">
        <v>17127.57</v>
      </c>
      <c r="D190" s="21">
        <v>8100</v>
      </c>
      <c r="E190" s="23">
        <v>1.571</v>
      </c>
      <c r="F190" s="17"/>
      <c r="G190" s="17"/>
    </row>
    <row r="191" spans="1:7" x14ac:dyDescent="0.2">
      <c r="A191" s="16" t="s">
        <v>20</v>
      </c>
      <c r="B191" s="16" t="s">
        <v>208</v>
      </c>
      <c r="C191" s="21">
        <v>17127.57</v>
      </c>
      <c r="D191" s="21">
        <v>8100</v>
      </c>
      <c r="E191" s="23">
        <v>1.571</v>
      </c>
      <c r="F191" s="17"/>
      <c r="G191" s="17"/>
    </row>
    <row r="192" spans="1:7" x14ac:dyDescent="0.2">
      <c r="A192" s="16" t="s">
        <v>20</v>
      </c>
      <c r="B192" s="16" t="s">
        <v>209</v>
      </c>
      <c r="C192" s="21">
        <v>17127.57</v>
      </c>
      <c r="D192" s="21">
        <v>8100</v>
      </c>
      <c r="E192" s="23">
        <v>1.571</v>
      </c>
      <c r="F192" s="17"/>
      <c r="G192" s="17"/>
    </row>
    <row r="193" spans="1:7" x14ac:dyDescent="0.2">
      <c r="A193" s="16" t="s">
        <v>20</v>
      </c>
      <c r="B193" s="16" t="s">
        <v>210</v>
      </c>
      <c r="C193" s="21">
        <v>17127.57</v>
      </c>
      <c r="D193" s="21">
        <v>8100</v>
      </c>
      <c r="E193" s="23">
        <v>1.571</v>
      </c>
      <c r="F193" s="17"/>
      <c r="G193" s="17"/>
    </row>
    <row r="194" spans="1:7" x14ac:dyDescent="0.2">
      <c r="A194" s="16" t="s">
        <v>20</v>
      </c>
      <c r="B194" s="16" t="s">
        <v>211</v>
      </c>
      <c r="C194" s="21">
        <v>17127.57</v>
      </c>
      <c r="D194" s="21">
        <v>8100</v>
      </c>
      <c r="E194" s="23">
        <v>1.571</v>
      </c>
      <c r="F194" s="17"/>
      <c r="G194" s="17"/>
    </row>
    <row r="195" spans="1:7" x14ac:dyDescent="0.2">
      <c r="A195" s="16" t="s">
        <v>20</v>
      </c>
      <c r="B195" s="16" t="s">
        <v>212</v>
      </c>
      <c r="C195" s="21">
        <v>17127.57</v>
      </c>
      <c r="D195" s="21">
        <v>8100</v>
      </c>
      <c r="E195" s="23">
        <v>1.571</v>
      </c>
      <c r="F195" s="17"/>
      <c r="G195" s="17"/>
    </row>
    <row r="196" spans="1:7" x14ac:dyDescent="0.2">
      <c r="A196" s="16" t="s">
        <v>20</v>
      </c>
      <c r="B196" s="16" t="s">
        <v>213</v>
      </c>
      <c r="C196" s="21">
        <v>17127.57</v>
      </c>
      <c r="D196" s="21">
        <v>8100</v>
      </c>
      <c r="E196" s="22">
        <v>1.571</v>
      </c>
      <c r="F196" s="17"/>
      <c r="G196" s="17"/>
    </row>
    <row r="197" spans="1:7" x14ac:dyDescent="0.2">
      <c r="A197" s="16" t="s">
        <v>21</v>
      </c>
      <c r="B197" s="16" t="s">
        <v>214</v>
      </c>
      <c r="C197" s="21">
        <v>35424.58</v>
      </c>
      <c r="D197" s="21">
        <v>11700</v>
      </c>
      <c r="E197" s="22">
        <v>1.288</v>
      </c>
      <c r="F197" s="17"/>
      <c r="G197" s="17"/>
    </row>
    <row r="198" spans="1:7" x14ac:dyDescent="0.2">
      <c r="A198" s="16" t="s">
        <v>21</v>
      </c>
      <c r="B198" s="16" t="s">
        <v>215</v>
      </c>
      <c r="C198" s="21">
        <v>35424.58</v>
      </c>
      <c r="D198" s="21">
        <v>11700</v>
      </c>
      <c r="E198" s="22">
        <v>1.288</v>
      </c>
      <c r="F198" s="17"/>
      <c r="G198" s="17"/>
    </row>
    <row r="199" spans="1:7" x14ac:dyDescent="0.2">
      <c r="A199" s="16" t="s">
        <v>21</v>
      </c>
      <c r="B199" s="16" t="s">
        <v>216</v>
      </c>
      <c r="C199" s="21">
        <v>35424.58</v>
      </c>
      <c r="D199" s="21">
        <v>11700</v>
      </c>
      <c r="E199" s="22">
        <v>1.288</v>
      </c>
      <c r="F199" s="17"/>
      <c r="G199" s="17"/>
    </row>
    <row r="200" spans="1:7" x14ac:dyDescent="0.2">
      <c r="A200" s="16" t="s">
        <v>21</v>
      </c>
      <c r="B200" s="16" t="s">
        <v>217</v>
      </c>
      <c r="C200" s="21">
        <v>35424.58</v>
      </c>
      <c r="D200" s="21">
        <v>11700</v>
      </c>
      <c r="E200" s="22">
        <v>1.288</v>
      </c>
      <c r="F200" s="17"/>
      <c r="G200" s="17"/>
    </row>
    <row r="201" spans="1:7" x14ac:dyDescent="0.2">
      <c r="A201" s="16" t="s">
        <v>21</v>
      </c>
      <c r="B201" s="16" t="s">
        <v>78</v>
      </c>
      <c r="C201" s="21">
        <v>35424.58</v>
      </c>
      <c r="D201" s="21">
        <v>11700</v>
      </c>
      <c r="E201" s="22">
        <v>1.288</v>
      </c>
      <c r="F201" s="17"/>
      <c r="G201" s="17"/>
    </row>
    <row r="202" spans="1:7" x14ac:dyDescent="0.2">
      <c r="A202" s="16" t="s">
        <v>22</v>
      </c>
      <c r="B202" s="16" t="s">
        <v>122</v>
      </c>
      <c r="C202" s="21">
        <v>35598.01</v>
      </c>
      <c r="D202" s="21">
        <v>9900</v>
      </c>
      <c r="E202" s="22">
        <v>1.6559999999999999</v>
      </c>
      <c r="F202" s="17"/>
      <c r="G202" s="17"/>
    </row>
    <row r="203" spans="1:7" x14ac:dyDescent="0.2">
      <c r="A203" s="16" t="s">
        <v>22</v>
      </c>
      <c r="B203" s="16" t="s">
        <v>127</v>
      </c>
      <c r="C203" s="21">
        <v>35598.01</v>
      </c>
      <c r="D203" s="21">
        <v>9900</v>
      </c>
      <c r="E203" s="22">
        <v>1.6559999999999999</v>
      </c>
      <c r="F203" s="17"/>
      <c r="G203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C48B-6DE8-C949-90A9-A194A778C627}">
  <dimension ref="A1:J82"/>
  <sheetViews>
    <sheetView zoomScale="107" workbookViewId="0">
      <selection activeCell="B1" sqref="B1"/>
    </sheetView>
  </sheetViews>
  <sheetFormatPr baseColWidth="10" defaultRowHeight="16" x14ac:dyDescent="0.2"/>
  <cols>
    <col min="1" max="1" width="19.33203125" customWidth="1"/>
    <col min="2" max="2" width="23.83203125" customWidth="1"/>
    <col min="3" max="3" width="16.1640625" customWidth="1"/>
    <col min="4" max="4" width="52" customWidth="1"/>
    <col min="10" max="10" width="15" customWidth="1"/>
  </cols>
  <sheetData>
    <row r="1" spans="1:5" x14ac:dyDescent="0.2">
      <c r="A1" t="s">
        <v>277</v>
      </c>
      <c r="B1" t="s">
        <v>378</v>
      </c>
      <c r="C1" s="4"/>
      <c r="E1" t="s">
        <v>327</v>
      </c>
    </row>
    <row r="2" spans="1:5" x14ac:dyDescent="0.2">
      <c r="C2" s="4"/>
    </row>
    <row r="3" spans="1:5" x14ac:dyDescent="0.2">
      <c r="A3" t="s">
        <v>278</v>
      </c>
      <c r="B3">
        <v>44.5</v>
      </c>
      <c r="C3" s="4" t="s">
        <v>281</v>
      </c>
      <c r="D3" t="s">
        <v>279</v>
      </c>
    </row>
    <row r="4" spans="1:5" x14ac:dyDescent="0.2">
      <c r="A4" t="s">
        <v>284</v>
      </c>
      <c r="B4">
        <v>0.12</v>
      </c>
      <c r="C4" s="4" t="s">
        <v>285</v>
      </c>
      <c r="D4" t="s">
        <v>286</v>
      </c>
    </row>
    <row r="5" spans="1:5" x14ac:dyDescent="0.2">
      <c r="A5" t="s">
        <v>287</v>
      </c>
      <c r="B5">
        <v>8.1</v>
      </c>
      <c r="C5" s="4" t="s">
        <v>285</v>
      </c>
      <c r="D5" t="s">
        <v>288</v>
      </c>
    </row>
    <row r="6" spans="1:5" x14ac:dyDescent="0.2">
      <c r="C6" s="4"/>
    </row>
    <row r="7" spans="1:5" x14ac:dyDescent="0.2">
      <c r="A7" t="s">
        <v>280</v>
      </c>
      <c r="B7">
        <v>0.05</v>
      </c>
      <c r="C7" s="4" t="s">
        <v>282</v>
      </c>
      <c r="D7" t="s">
        <v>283</v>
      </c>
    </row>
    <row r="8" spans="1:5" x14ac:dyDescent="0.2">
      <c r="A8" t="s">
        <v>297</v>
      </c>
      <c r="B8">
        <v>17.07</v>
      </c>
      <c r="C8" s="4" t="s">
        <v>290</v>
      </c>
      <c r="D8" t="s">
        <v>298</v>
      </c>
    </row>
    <row r="9" spans="1:5" x14ac:dyDescent="0.2">
      <c r="A9" t="s">
        <v>289</v>
      </c>
      <c r="B9">
        <v>982.12</v>
      </c>
      <c r="C9" s="4" t="s">
        <v>290</v>
      </c>
      <c r="D9" t="s">
        <v>291</v>
      </c>
    </row>
    <row r="10" spans="1:5" x14ac:dyDescent="0.2">
      <c r="A10" t="s">
        <v>292</v>
      </c>
      <c r="B10">
        <v>19.22</v>
      </c>
      <c r="C10" s="4" t="s">
        <v>290</v>
      </c>
      <c r="D10" t="s">
        <v>293</v>
      </c>
      <c r="E10" t="s">
        <v>328</v>
      </c>
    </row>
    <row r="11" spans="1:5" x14ac:dyDescent="0.2">
      <c r="A11" t="s">
        <v>294</v>
      </c>
      <c r="B11">
        <v>964.19</v>
      </c>
      <c r="C11" s="4" t="s">
        <v>295</v>
      </c>
      <c r="D11" t="s">
        <v>296</v>
      </c>
    </row>
    <row r="12" spans="1:5" x14ac:dyDescent="0.2">
      <c r="A12" t="s">
        <v>299</v>
      </c>
      <c r="B12">
        <v>310.5</v>
      </c>
      <c r="C12" s="4" t="s">
        <v>290</v>
      </c>
      <c r="D12" t="s">
        <v>300</v>
      </c>
    </row>
    <row r="17" spans="1:7" x14ac:dyDescent="0.2">
      <c r="A17" t="s">
        <v>301</v>
      </c>
      <c r="B17">
        <v>82.32</v>
      </c>
      <c r="C17" t="s">
        <v>302</v>
      </c>
      <c r="D17" t="s">
        <v>303</v>
      </c>
    </row>
    <row r="18" spans="1:7" x14ac:dyDescent="0.2">
      <c r="A18" t="s">
        <v>304</v>
      </c>
      <c r="B18">
        <v>0.24</v>
      </c>
      <c r="C18" t="s">
        <v>305</v>
      </c>
      <c r="D18" t="s">
        <v>306</v>
      </c>
    </row>
    <row r="22" spans="1:7" x14ac:dyDescent="0.2">
      <c r="A22" s="26" t="s">
        <v>307</v>
      </c>
      <c r="B22" s="26">
        <v>10</v>
      </c>
      <c r="C22" s="26" t="s">
        <v>308</v>
      </c>
      <c r="D22" s="26" t="s">
        <v>309</v>
      </c>
      <c r="E22" s="27"/>
      <c r="F22" s="27"/>
      <c r="G22" s="27"/>
    </row>
    <row r="23" spans="1:7" x14ac:dyDescent="0.2">
      <c r="A23" s="26" t="s">
        <v>310</v>
      </c>
      <c r="B23" s="26">
        <v>5</v>
      </c>
      <c r="C23" s="26" t="s">
        <v>308</v>
      </c>
      <c r="D23" s="26" t="s">
        <v>311</v>
      </c>
      <c r="E23" s="27"/>
      <c r="F23" s="27"/>
      <c r="G23" s="27"/>
    </row>
    <row r="24" spans="1:7" x14ac:dyDescent="0.2">
      <c r="A24" s="26" t="s">
        <v>312</v>
      </c>
      <c r="B24" s="26">
        <v>3</v>
      </c>
      <c r="C24" s="26" t="s">
        <v>308</v>
      </c>
      <c r="D24" s="26" t="s">
        <v>313</v>
      </c>
      <c r="E24" s="27"/>
      <c r="F24" s="27"/>
      <c r="G24" s="27"/>
    </row>
    <row r="25" spans="1:7" x14ac:dyDescent="0.2">
      <c r="A25" s="26" t="s">
        <v>314</v>
      </c>
      <c r="B25" s="26">
        <v>4</v>
      </c>
      <c r="C25" s="26" t="s">
        <v>308</v>
      </c>
      <c r="D25" s="26" t="s">
        <v>315</v>
      </c>
      <c r="E25" s="27"/>
      <c r="F25" s="27"/>
      <c r="G25" s="27"/>
    </row>
    <row r="26" spans="1:7" x14ac:dyDescent="0.2">
      <c r="A26" s="26" t="s">
        <v>316</v>
      </c>
      <c r="B26" s="26">
        <v>10</v>
      </c>
      <c r="C26" s="26" t="s">
        <v>308</v>
      </c>
      <c r="D26" s="26" t="s">
        <v>317</v>
      </c>
      <c r="E26" s="27"/>
      <c r="F26" s="27"/>
      <c r="G26" s="27"/>
    </row>
    <row r="27" spans="1:7" x14ac:dyDescent="0.2">
      <c r="A27" s="26" t="s">
        <v>318</v>
      </c>
      <c r="B27" s="26">
        <v>6</v>
      </c>
      <c r="C27" s="26" t="s">
        <v>308</v>
      </c>
      <c r="D27" s="26" t="s">
        <v>319</v>
      </c>
      <c r="E27" s="27"/>
      <c r="F27" s="27"/>
      <c r="G27" s="27"/>
    </row>
    <row r="28" spans="1:7" x14ac:dyDescent="0.2">
      <c r="A28" s="26" t="s">
        <v>320</v>
      </c>
      <c r="B28" s="26">
        <v>2</v>
      </c>
      <c r="C28" s="26" t="s">
        <v>308</v>
      </c>
      <c r="D28" s="26" t="s">
        <v>321</v>
      </c>
      <c r="E28" s="27"/>
      <c r="F28" s="27"/>
      <c r="G28" s="27"/>
    </row>
    <row r="29" spans="1:7" x14ac:dyDescent="0.2">
      <c r="A29" s="27"/>
      <c r="B29" s="27"/>
      <c r="C29" s="27"/>
      <c r="D29" s="27"/>
      <c r="E29" s="27"/>
      <c r="F29" s="27"/>
      <c r="G29" s="27"/>
    </row>
    <row r="30" spans="1:7" ht="18" x14ac:dyDescent="0.2">
      <c r="A30" s="28" t="s">
        <v>322</v>
      </c>
      <c r="B30" s="28">
        <v>4</v>
      </c>
      <c r="C30" s="28" t="s">
        <v>323</v>
      </c>
      <c r="D30" s="28" t="s">
        <v>324</v>
      </c>
      <c r="E30" s="25"/>
    </row>
    <row r="31" spans="1:7" x14ac:dyDescent="0.2">
      <c r="A31" s="28" t="s">
        <v>325</v>
      </c>
      <c r="B31" s="28">
        <v>4</v>
      </c>
      <c r="C31" s="28" t="s">
        <v>323</v>
      </c>
      <c r="D31" s="28" t="s">
        <v>326</v>
      </c>
    </row>
    <row r="32" spans="1:7" x14ac:dyDescent="0.2">
      <c r="A32" s="26"/>
      <c r="B32" s="26"/>
      <c r="C32" s="26"/>
      <c r="D32" s="26"/>
    </row>
    <row r="33" spans="1:10" x14ac:dyDescent="0.2">
      <c r="A33" s="26" t="s">
        <v>329</v>
      </c>
      <c r="B33" s="26">
        <v>28.99</v>
      </c>
      <c r="C33" s="26" t="s">
        <v>330</v>
      </c>
      <c r="D33" s="26" t="s">
        <v>331</v>
      </c>
      <c r="E33" s="26" t="s">
        <v>332</v>
      </c>
    </row>
    <row r="35" spans="1:10" x14ac:dyDescent="0.2">
      <c r="A35" s="18" t="s">
        <v>333</v>
      </c>
    </row>
    <row r="37" spans="1:10" x14ac:dyDescent="0.2">
      <c r="A37" s="18" t="s">
        <v>334</v>
      </c>
    </row>
    <row r="38" spans="1:10" x14ac:dyDescent="0.2">
      <c r="A38" t="s">
        <v>335</v>
      </c>
      <c r="B38" s="30">
        <v>4</v>
      </c>
      <c r="C38" t="s">
        <v>308</v>
      </c>
      <c r="D38" t="s">
        <v>336</v>
      </c>
    </row>
    <row r="39" spans="1:10" x14ac:dyDescent="0.2">
      <c r="A39" s="18" t="s">
        <v>337</v>
      </c>
      <c r="B39" s="30">
        <v>1</v>
      </c>
      <c r="C39" t="s">
        <v>338</v>
      </c>
      <c r="D39" t="s">
        <v>339</v>
      </c>
    </row>
    <row r="40" spans="1:10" x14ac:dyDescent="0.2">
      <c r="A40" t="s">
        <v>340</v>
      </c>
      <c r="B40" s="30">
        <v>1</v>
      </c>
      <c r="C40" t="s">
        <v>341</v>
      </c>
      <c r="D40" t="s">
        <v>342</v>
      </c>
    </row>
    <row r="41" spans="1:10" x14ac:dyDescent="0.2">
      <c r="A41" s="18" t="s">
        <v>343</v>
      </c>
      <c r="B41" s="30">
        <v>1000</v>
      </c>
      <c r="C41" t="s">
        <v>344</v>
      </c>
      <c r="D41" t="s">
        <v>345</v>
      </c>
    </row>
    <row r="42" spans="1:10" x14ac:dyDescent="0.2">
      <c r="A42" t="s">
        <v>346</v>
      </c>
      <c r="B42" s="30">
        <v>2</v>
      </c>
      <c r="C42" t="s">
        <v>308</v>
      </c>
      <c r="D42" t="s">
        <v>347</v>
      </c>
    </row>
    <row r="43" spans="1:10" x14ac:dyDescent="0.2">
      <c r="A43" s="18" t="s">
        <v>348</v>
      </c>
      <c r="B43" s="30">
        <v>260</v>
      </c>
      <c r="C43" t="s">
        <v>338</v>
      </c>
      <c r="D43" t="s">
        <v>349</v>
      </c>
    </row>
    <row r="44" spans="1:10" x14ac:dyDescent="0.2">
      <c r="A44" t="s">
        <v>365</v>
      </c>
      <c r="B44" s="30">
        <v>0.13</v>
      </c>
      <c r="C44" t="s">
        <v>366</v>
      </c>
      <c r="D44" t="s">
        <v>367</v>
      </c>
    </row>
    <row r="45" spans="1:10" x14ac:dyDescent="0.2">
      <c r="A45" s="31" t="s">
        <v>0</v>
      </c>
      <c r="B45" s="31" t="s">
        <v>350</v>
      </c>
      <c r="C45" s="31" t="s">
        <v>368</v>
      </c>
      <c r="D45" s="31" t="s">
        <v>351</v>
      </c>
      <c r="E45" s="31" t="s">
        <v>352</v>
      </c>
      <c r="F45" s="31" t="s">
        <v>353</v>
      </c>
      <c r="G45" s="31" t="s">
        <v>354</v>
      </c>
      <c r="H45" s="31" t="s">
        <v>355</v>
      </c>
      <c r="I45" s="31" t="s">
        <v>356</v>
      </c>
      <c r="J45" s="31" t="s">
        <v>357</v>
      </c>
    </row>
    <row r="46" spans="1:10" x14ac:dyDescent="0.2">
      <c r="A46" t="str" cm="1">
        <f t="array" ref="A46:A68">_xlfn.UNIQUE(Sheet2!A2:A203)</f>
        <v>Angola</v>
      </c>
      <c r="B46" s="32">
        <f>AVERAGEIF(Sheet2!$A$2:$A$203,$A46,Sheet2!$E$2:$E$203)</f>
        <v>0.32700000000000001</v>
      </c>
      <c r="C46" s="15">
        <f>B46*$B$44/$B$4</f>
        <v>0.35425000000000006</v>
      </c>
      <c r="D46" s="33">
        <f>$B$3*$B$42*$B$4*$C46</f>
        <v>3.7833900000000007</v>
      </c>
      <c r="E46" s="33">
        <f>$B$5*$C46*$B$38*$B$39</f>
        <v>11.477700000000002</v>
      </c>
      <c r="F46" s="33">
        <f>$B$7*$B$41*$C46</f>
        <v>17.712500000000002</v>
      </c>
      <c r="G46" s="33">
        <f>$B$33*$C46*$B$38*$B$40</f>
        <v>41.078830000000004</v>
      </c>
      <c r="H46" s="33">
        <f>$B$8*$C46*$B$38*$B$39</f>
        <v>24.188190000000006</v>
      </c>
      <c r="I46" s="33">
        <f>AVERAGEIF(Sheet2!$A$2:$A$203,$A46,Sheet2!$D$2:$D$203)/$B$43*$B$38*$B$39</f>
        <v>193.84615384615384</v>
      </c>
      <c r="J46" s="34">
        <f>SUM(D46:I46)</f>
        <v>292.08676384615387</v>
      </c>
    </row>
    <row r="47" spans="1:10" x14ac:dyDescent="0.2">
      <c r="A47" t="str">
        <v>Benin</v>
      </c>
      <c r="B47" s="32">
        <f>AVERAGEIF(Sheet2!$A$2:$A$203,$A47,Sheet2!$E$2:$E$203)</f>
        <v>1.288</v>
      </c>
      <c r="C47" s="15">
        <f t="shared" ref="C47:C68" si="0">B47*$B$44/$B$4</f>
        <v>1.3953333333333335</v>
      </c>
      <c r="D47" s="33">
        <f t="shared" ref="D47:D68" si="1">$B$3*$B$42*$B$4*$C47</f>
        <v>14.902160000000002</v>
      </c>
      <c r="E47" s="33">
        <f t="shared" ref="E47:E68" si="2">$B$5*$C47*$B$38*$B$39</f>
        <v>45.208800000000004</v>
      </c>
      <c r="F47" s="33">
        <f t="shared" ref="F47:F68" si="3">$B$7*$B$41*$C47</f>
        <v>69.76666666666668</v>
      </c>
      <c r="G47" s="33">
        <f t="shared" ref="G47:G68" si="4">$B$33*$C47*$B$38*$B$40</f>
        <v>161.80285333333336</v>
      </c>
      <c r="H47" s="33">
        <f t="shared" ref="H47:H68" si="5">$B$8*$C47*$B$38*$B$39</f>
        <v>95.273360000000011</v>
      </c>
      <c r="I47" s="33">
        <f>AVERAGEIF(Sheet2!$A$2:$A$203,$A47,Sheet2!$D$2:$D$203)/$B$43*$B$38*$B$39</f>
        <v>161.53846153846155</v>
      </c>
      <c r="J47" s="34">
        <f t="shared" ref="J47:J68" si="6">SUM(D47:I47)</f>
        <v>548.49230153846156</v>
      </c>
    </row>
    <row r="48" spans="1:10" x14ac:dyDescent="0.2">
      <c r="A48" t="str">
        <v>Burkina Faso</v>
      </c>
      <c r="B48" s="32">
        <f>AVERAGEIF(Sheet2!$A$2:$A$203,$A48,Sheet2!$E$2:$E$203)</f>
        <v>1.51</v>
      </c>
      <c r="C48" s="15">
        <f t="shared" si="0"/>
        <v>1.6358333333333335</v>
      </c>
      <c r="D48" s="33">
        <f t="shared" si="1"/>
        <v>17.470700000000001</v>
      </c>
      <c r="E48" s="33">
        <f t="shared" si="2"/>
        <v>53.001000000000005</v>
      </c>
      <c r="F48" s="33">
        <f t="shared" si="3"/>
        <v>81.791666666666671</v>
      </c>
      <c r="G48" s="33">
        <f t="shared" si="4"/>
        <v>189.69123333333334</v>
      </c>
      <c r="H48" s="33">
        <f t="shared" si="5"/>
        <v>111.69470000000001</v>
      </c>
      <c r="I48" s="33">
        <f>AVERAGEIF(Sheet2!$A$2:$A$203,$A48,Sheet2!$D$2:$D$203)/$B$43*$B$38*$B$39</f>
        <v>342.92307692307691</v>
      </c>
      <c r="J48" s="34">
        <f t="shared" si="6"/>
        <v>796.57237692307694</v>
      </c>
    </row>
    <row r="49" spans="1:10" x14ac:dyDescent="0.2">
      <c r="A49" t="str">
        <v>Burundi</v>
      </c>
      <c r="B49" s="32">
        <f>AVERAGEIF(Sheet2!$A$2:$A$203,$A49,Sheet2!$E$2:$E$203)</f>
        <v>1.343</v>
      </c>
      <c r="C49" s="15">
        <f t="shared" si="0"/>
        <v>1.4549166666666666</v>
      </c>
      <c r="D49" s="33">
        <f t="shared" si="1"/>
        <v>15.538509999999999</v>
      </c>
      <c r="E49" s="33">
        <f t="shared" si="2"/>
        <v>47.139299999999999</v>
      </c>
      <c r="F49" s="33">
        <f t="shared" si="3"/>
        <v>72.745833333333337</v>
      </c>
      <c r="G49" s="33">
        <f t="shared" si="4"/>
        <v>168.71213666666665</v>
      </c>
      <c r="H49" s="33">
        <f t="shared" si="5"/>
        <v>99.341710000000006</v>
      </c>
      <c r="I49" s="33">
        <f>AVERAGEIF(Sheet2!$A$2:$A$203,$A49,Sheet2!$D$2:$D$203)/$B$43*$B$38*$B$39</f>
        <v>92.307692307692307</v>
      </c>
      <c r="J49" s="34">
        <f t="shared" si="6"/>
        <v>495.78518230769231</v>
      </c>
    </row>
    <row r="50" spans="1:10" x14ac:dyDescent="0.2">
      <c r="A50" t="str">
        <v>Cameroon</v>
      </c>
      <c r="B50" s="32">
        <f>AVERAGEIF(Sheet2!$A$2:$A$203,$A50,Sheet2!$E$2:$E$203)</f>
        <v>1.4909999999999999</v>
      </c>
      <c r="C50" s="15">
        <f t="shared" si="0"/>
        <v>1.6152500000000001</v>
      </c>
      <c r="D50" s="33">
        <f t="shared" si="1"/>
        <v>17.250869999999999</v>
      </c>
      <c r="E50" s="33">
        <f t="shared" si="2"/>
        <v>52.334099999999999</v>
      </c>
      <c r="F50" s="33">
        <f t="shared" si="3"/>
        <v>80.762500000000003</v>
      </c>
      <c r="G50" s="33">
        <f t="shared" si="4"/>
        <v>187.30439000000001</v>
      </c>
      <c r="H50" s="33">
        <f t="shared" si="5"/>
        <v>110.28927</v>
      </c>
      <c r="I50" s="33">
        <f>AVERAGEIF(Sheet2!$A$2:$A$203,$A50,Sheet2!$D$2:$D$203)/$B$43*$B$38*$B$39</f>
        <v>84.92307692307692</v>
      </c>
      <c r="J50" s="34">
        <f t="shared" si="6"/>
        <v>532.86420692307695</v>
      </c>
    </row>
    <row r="51" spans="1:10" x14ac:dyDescent="0.2">
      <c r="A51" t="str">
        <v>Chad</v>
      </c>
      <c r="B51" s="32">
        <f>AVERAGEIF(Sheet2!$A$2:$A$203,$A51,Sheet2!$E$2:$E$203)</f>
        <v>0.84699999999999975</v>
      </c>
      <c r="C51" s="15">
        <f t="shared" si="0"/>
        <v>0.91758333333333308</v>
      </c>
      <c r="D51" s="33">
        <f t="shared" si="1"/>
        <v>9.7997899999999962</v>
      </c>
      <c r="E51" s="33">
        <f t="shared" si="2"/>
        <v>29.72969999999999</v>
      </c>
      <c r="F51" s="33">
        <f t="shared" si="3"/>
        <v>45.879166666666656</v>
      </c>
      <c r="G51" s="33">
        <f t="shared" si="4"/>
        <v>106.4029633333333</v>
      </c>
      <c r="H51" s="33">
        <f t="shared" si="5"/>
        <v>62.652589999999982</v>
      </c>
      <c r="I51" s="33">
        <f>AVERAGEIF(Sheet2!$A$2:$A$203,$A51,Sheet2!$D$2:$D$203)/$B$43*$B$38*$B$39</f>
        <v>133.84615384615384</v>
      </c>
      <c r="J51" s="34">
        <f t="shared" si="6"/>
        <v>388.31036384615379</v>
      </c>
    </row>
    <row r="52" spans="1:10" x14ac:dyDescent="0.2">
      <c r="A52" t="str">
        <v>Congo</v>
      </c>
      <c r="B52" s="32">
        <f>AVERAGEIF(Sheet2!$A$2:$A$203,$A52,Sheet2!$E$2:$E$203)</f>
        <v>0.96999999999999986</v>
      </c>
      <c r="C52" s="15">
        <f t="shared" si="0"/>
        <v>1.0508333333333333</v>
      </c>
      <c r="D52" s="33">
        <f t="shared" si="1"/>
        <v>11.222899999999999</v>
      </c>
      <c r="E52" s="33">
        <f t="shared" si="2"/>
        <v>34.046999999999997</v>
      </c>
      <c r="F52" s="33">
        <f t="shared" si="3"/>
        <v>52.541666666666664</v>
      </c>
      <c r="G52" s="33">
        <f t="shared" si="4"/>
        <v>121.85463333333333</v>
      </c>
      <c r="H52" s="33">
        <f t="shared" si="5"/>
        <v>71.750900000000001</v>
      </c>
      <c r="I52" s="33">
        <f>AVERAGEIF(Sheet2!$A$2:$A$203,$A52,Sheet2!$D$2:$D$203)/$B$43*$B$38*$B$39</f>
        <v>147.69230769230768</v>
      </c>
      <c r="J52" s="34">
        <f t="shared" si="6"/>
        <v>439.10940769230768</v>
      </c>
    </row>
    <row r="53" spans="1:10" x14ac:dyDescent="0.2">
      <c r="A53" t="str">
        <v>Cote d'Ivoire</v>
      </c>
      <c r="B53" s="32">
        <f>AVERAGEIF(Sheet2!$A$2:$A$203,$A53,Sheet2!$E$2:$E$203)</f>
        <v>1.5539999999999998</v>
      </c>
      <c r="C53" s="15">
        <f t="shared" si="0"/>
        <v>1.6834999999999998</v>
      </c>
      <c r="D53" s="33">
        <f t="shared" si="1"/>
        <v>17.979779999999998</v>
      </c>
      <c r="E53" s="33">
        <f t="shared" si="2"/>
        <v>54.545399999999994</v>
      </c>
      <c r="F53" s="33">
        <f t="shared" si="3"/>
        <v>84.174999999999983</v>
      </c>
      <c r="G53" s="33">
        <f t="shared" si="4"/>
        <v>195.21865999999997</v>
      </c>
      <c r="H53" s="33">
        <f t="shared" si="5"/>
        <v>114.94937999999999</v>
      </c>
      <c r="I53" s="33">
        <f>AVERAGEIF(Sheet2!$A$2:$A$203,$A53,Sheet2!$D$2:$D$203)/$B$43*$B$38*$B$39</f>
        <v>330.76923076923077</v>
      </c>
      <c r="J53" s="34">
        <f t="shared" si="6"/>
        <v>797.63745076923078</v>
      </c>
    </row>
    <row r="54" spans="1:10" x14ac:dyDescent="0.2">
      <c r="A54" t="str">
        <v>Democratic Republic of the Congo</v>
      </c>
      <c r="B54" s="32">
        <f>AVERAGEIF(Sheet2!$A$2:$A$203,$A54,Sheet2!$E$2:$E$203)</f>
        <v>1.1830000000000001</v>
      </c>
      <c r="C54" s="15">
        <f t="shared" si="0"/>
        <v>1.2815833333333335</v>
      </c>
      <c r="D54" s="33">
        <f t="shared" si="1"/>
        <v>13.687310000000002</v>
      </c>
      <c r="E54" s="33">
        <f t="shared" si="2"/>
        <v>41.523300000000006</v>
      </c>
      <c r="F54" s="33">
        <f t="shared" si="3"/>
        <v>64.07916666666668</v>
      </c>
      <c r="G54" s="33">
        <f t="shared" si="4"/>
        <v>148.61240333333333</v>
      </c>
      <c r="H54" s="33">
        <f t="shared" si="5"/>
        <v>87.50651000000002</v>
      </c>
      <c r="I54" s="33">
        <f>AVERAGEIF(Sheet2!$A$2:$A$203,$A54,Sheet2!$D$2:$D$203)/$B$43*$B$38*$B$39</f>
        <v>129.23076923076923</v>
      </c>
      <c r="J54" s="34">
        <f t="shared" si="6"/>
        <v>484.63945923076932</v>
      </c>
    </row>
    <row r="55" spans="1:10" x14ac:dyDescent="0.2">
      <c r="A55" t="str">
        <v>Ethiopia</v>
      </c>
      <c r="B55" s="32">
        <f>AVERAGEIF(Sheet2!$A$2:$A$203,$A55,Sheet2!$E$2:$E$203)</f>
        <v>1.0509999999999999</v>
      </c>
      <c r="C55" s="15">
        <f t="shared" si="0"/>
        <v>1.1385833333333333</v>
      </c>
      <c r="D55" s="33">
        <f t="shared" si="1"/>
        <v>12.160069999999999</v>
      </c>
      <c r="E55" s="33">
        <f t="shared" si="2"/>
        <v>36.890099999999997</v>
      </c>
      <c r="F55" s="33">
        <f t="shared" si="3"/>
        <v>56.929166666666667</v>
      </c>
      <c r="G55" s="33">
        <f t="shared" si="4"/>
        <v>132.03012333333331</v>
      </c>
      <c r="H55" s="33">
        <f t="shared" si="5"/>
        <v>77.742469999999997</v>
      </c>
      <c r="I55" s="33">
        <f>AVERAGEIF(Sheet2!$A$2:$A$203,$A55,Sheet2!$D$2:$D$203)/$B$43*$B$38*$B$39</f>
        <v>56.769230769230766</v>
      </c>
      <c r="J55" s="34">
        <f t="shared" si="6"/>
        <v>372.52116076923073</v>
      </c>
    </row>
    <row r="56" spans="1:10" x14ac:dyDescent="0.2">
      <c r="A56" t="str">
        <v>Ghana</v>
      </c>
      <c r="B56" s="32">
        <f>AVERAGEIF(Sheet2!$A$2:$A$203,$A56,Sheet2!$E$2:$E$203)</f>
        <v>1.34</v>
      </c>
      <c r="C56" s="15">
        <f t="shared" si="0"/>
        <v>1.4516666666666669</v>
      </c>
      <c r="D56" s="33">
        <f t="shared" si="1"/>
        <v>15.503800000000002</v>
      </c>
      <c r="E56" s="33">
        <f t="shared" si="2"/>
        <v>47.034000000000006</v>
      </c>
      <c r="F56" s="33">
        <f t="shared" si="3"/>
        <v>72.583333333333343</v>
      </c>
      <c r="G56" s="33">
        <f t="shared" si="4"/>
        <v>168.33526666666668</v>
      </c>
      <c r="H56" s="33">
        <f t="shared" si="5"/>
        <v>99.119800000000012</v>
      </c>
      <c r="I56" s="33">
        <f>AVERAGEIF(Sheet2!$A$2:$A$203,$A56,Sheet2!$D$2:$D$203)/$B$43*$B$38*$B$39</f>
        <v>172.37169230769234</v>
      </c>
      <c r="J56" s="34">
        <f t="shared" si="6"/>
        <v>574.94789230769243</v>
      </c>
    </row>
    <row r="57" spans="1:10" x14ac:dyDescent="0.2">
      <c r="A57" t="str">
        <v>Guinea</v>
      </c>
      <c r="B57" s="32">
        <f>AVERAGEIF(Sheet2!$A$2:$A$203,$A57,Sheet2!$E$2:$E$203)</f>
        <v>1.3669999999999998</v>
      </c>
      <c r="C57" s="15">
        <f t="shared" si="0"/>
        <v>1.4809166666666664</v>
      </c>
      <c r="D57" s="33">
        <f t="shared" si="1"/>
        <v>15.816189999999997</v>
      </c>
      <c r="E57" s="33">
        <f t="shared" si="2"/>
        <v>47.981699999999989</v>
      </c>
      <c r="F57" s="33">
        <f t="shared" si="3"/>
        <v>74.04583333333332</v>
      </c>
      <c r="G57" s="33">
        <f t="shared" si="4"/>
        <v>171.72709666666663</v>
      </c>
      <c r="H57" s="33">
        <f t="shared" si="5"/>
        <v>101.11698999999999</v>
      </c>
      <c r="I57" s="33">
        <f>AVERAGEIF(Sheet2!$A$2:$A$203,$A57,Sheet2!$D$2:$D$203)/$B$43*$B$38*$B$39</f>
        <v>81.230769230769226</v>
      </c>
      <c r="J57" s="34">
        <f t="shared" si="6"/>
        <v>491.91857923076913</v>
      </c>
    </row>
    <row r="58" spans="1:10" x14ac:dyDescent="0.2">
      <c r="A58" t="str">
        <v>Guinea-Bissau</v>
      </c>
      <c r="B58" s="32">
        <f>AVERAGEIF(Sheet2!$A$2:$A$203,$A58,Sheet2!$E$2:$E$203)</f>
        <v>1.5600000000000003</v>
      </c>
      <c r="C58" s="15">
        <f t="shared" si="0"/>
        <v>1.6900000000000004</v>
      </c>
      <c r="D58" s="33">
        <f t="shared" si="1"/>
        <v>18.049200000000003</v>
      </c>
      <c r="E58" s="33">
        <f t="shared" si="2"/>
        <v>54.756000000000007</v>
      </c>
      <c r="F58" s="33">
        <f t="shared" si="3"/>
        <v>84.500000000000014</v>
      </c>
      <c r="G58" s="33">
        <f t="shared" si="4"/>
        <v>195.97240000000002</v>
      </c>
      <c r="H58" s="33">
        <f t="shared" si="5"/>
        <v>115.39320000000002</v>
      </c>
      <c r="I58" s="33">
        <f>AVERAGEIF(Sheet2!$A$2:$A$203,$A58,Sheet2!$D$2:$D$203)/$B$43*$B$38*$B$39</f>
        <v>106.15384615384616</v>
      </c>
      <c r="J58" s="34">
        <f t="shared" si="6"/>
        <v>574.82464615384617</v>
      </c>
    </row>
    <row r="59" spans="1:10" x14ac:dyDescent="0.2">
      <c r="A59" t="str">
        <v>Liberia</v>
      </c>
      <c r="B59" s="32">
        <f>AVERAGEIF(Sheet2!$A$2:$A$203,$A59,Sheet2!$E$2:$E$203)</f>
        <v>1.1410000000000002</v>
      </c>
      <c r="C59" s="15">
        <f t="shared" si="0"/>
        <v>1.2360833333333336</v>
      </c>
      <c r="D59" s="33">
        <f t="shared" si="1"/>
        <v>13.201370000000002</v>
      </c>
      <c r="E59" s="33">
        <f t="shared" si="2"/>
        <v>40.04910000000001</v>
      </c>
      <c r="F59" s="33">
        <f t="shared" si="3"/>
        <v>61.804166666666681</v>
      </c>
      <c r="G59" s="33">
        <f t="shared" si="4"/>
        <v>143.33622333333335</v>
      </c>
      <c r="H59" s="33">
        <f t="shared" si="5"/>
        <v>84.399770000000018</v>
      </c>
      <c r="I59" s="33">
        <f>AVERAGEIF(Sheet2!$A$2:$A$203,$A59,Sheet2!$D$2:$D$203)/$B$43*$B$38*$B$39</f>
        <v>120</v>
      </c>
      <c r="J59" s="34">
        <f t="shared" si="6"/>
        <v>462.79063000000008</v>
      </c>
    </row>
    <row r="60" spans="1:10" x14ac:dyDescent="0.2">
      <c r="A60" t="str">
        <v>Malawi</v>
      </c>
      <c r="B60" s="32">
        <f>AVERAGEIF(Sheet2!$A$2:$A$203,$A60,Sheet2!$E$2:$E$203)</f>
        <v>3.843</v>
      </c>
      <c r="C60" s="15">
        <f t="shared" si="0"/>
        <v>4.1632500000000006</v>
      </c>
      <c r="D60" s="33">
        <f t="shared" si="1"/>
        <v>44.463510000000007</v>
      </c>
      <c r="E60" s="33">
        <f t="shared" si="2"/>
        <v>134.88930000000002</v>
      </c>
      <c r="F60" s="33">
        <f t="shared" si="3"/>
        <v>208.16250000000002</v>
      </c>
      <c r="G60" s="33">
        <f t="shared" si="4"/>
        <v>482.77047000000005</v>
      </c>
      <c r="H60" s="33">
        <f t="shared" si="5"/>
        <v>284.26671000000005</v>
      </c>
      <c r="I60" s="33">
        <f>AVERAGEIF(Sheet2!$A$2:$A$203,$A60,Sheet2!$D$2:$D$203)/$B$43*$B$38*$B$39</f>
        <v>180.76923076923077</v>
      </c>
      <c r="J60" s="34">
        <f t="shared" si="6"/>
        <v>1335.321720769231</v>
      </c>
    </row>
    <row r="61" spans="1:10" x14ac:dyDescent="0.2">
      <c r="A61" t="str">
        <v>Mali</v>
      </c>
      <c r="B61" s="32">
        <f>AVERAGEIF(Sheet2!$A$2:$A$203,$A61,Sheet2!$E$2:$E$203)</f>
        <v>1.554</v>
      </c>
      <c r="C61" s="15">
        <f t="shared" si="0"/>
        <v>1.6835</v>
      </c>
      <c r="D61" s="33">
        <f t="shared" si="1"/>
        <v>17.979779999999998</v>
      </c>
      <c r="E61" s="33">
        <f t="shared" si="2"/>
        <v>54.545400000000001</v>
      </c>
      <c r="F61" s="33">
        <f t="shared" si="3"/>
        <v>84.174999999999997</v>
      </c>
      <c r="G61" s="33">
        <f t="shared" si="4"/>
        <v>195.21866</v>
      </c>
      <c r="H61" s="33">
        <f t="shared" si="5"/>
        <v>114.94938</v>
      </c>
      <c r="I61" s="33">
        <f>AVERAGEIF(Sheet2!$A$2:$A$203,$A61,Sheet2!$D$2:$D$203)/$B$43*$B$38*$B$39</f>
        <v>203.84615384615384</v>
      </c>
      <c r="J61" s="34">
        <f t="shared" si="6"/>
        <v>670.71437384615388</v>
      </c>
    </row>
    <row r="62" spans="1:10" x14ac:dyDescent="0.2">
      <c r="A62" t="str">
        <v>Mozambique</v>
      </c>
      <c r="B62" s="32">
        <f>AVERAGEIF(Sheet2!$A$2:$A$203,$A62,Sheet2!$E$2:$E$203)</f>
        <v>1.466</v>
      </c>
      <c r="C62" s="15">
        <f t="shared" si="0"/>
        <v>1.5881666666666667</v>
      </c>
      <c r="D62" s="33">
        <f t="shared" si="1"/>
        <v>16.96162</v>
      </c>
      <c r="E62" s="33">
        <f t="shared" si="2"/>
        <v>51.456600000000002</v>
      </c>
      <c r="F62" s="33">
        <f t="shared" si="3"/>
        <v>79.408333333333331</v>
      </c>
      <c r="G62" s="33">
        <f t="shared" si="4"/>
        <v>184.16380666666666</v>
      </c>
      <c r="H62" s="33">
        <f t="shared" si="5"/>
        <v>108.44002</v>
      </c>
      <c r="I62" s="33">
        <f>AVERAGEIF(Sheet2!$A$2:$A$203,$A62,Sheet2!$D$2:$D$203)/$B$43*$B$38*$B$39</f>
        <v>147.69230769230768</v>
      </c>
      <c r="J62" s="34">
        <f t="shared" si="6"/>
        <v>588.12268769230764</v>
      </c>
    </row>
    <row r="63" spans="1:10" x14ac:dyDescent="0.2">
      <c r="A63" t="str">
        <v>Nigeria</v>
      </c>
      <c r="B63" s="32">
        <f>AVERAGEIF(Sheet2!$A$2:$A$203,$A63,Sheet2!$E$2:$E$203)</f>
        <v>0.93299999999999994</v>
      </c>
      <c r="C63" s="15">
        <f t="shared" si="0"/>
        <v>1.01075</v>
      </c>
      <c r="D63" s="33">
        <f t="shared" si="1"/>
        <v>10.79481</v>
      </c>
      <c r="E63" s="33">
        <f t="shared" si="2"/>
        <v>32.7483</v>
      </c>
      <c r="F63" s="33">
        <f t="shared" si="3"/>
        <v>50.537500000000001</v>
      </c>
      <c r="G63" s="33">
        <f t="shared" si="4"/>
        <v>117.20657</v>
      </c>
      <c r="H63" s="33">
        <f t="shared" si="5"/>
        <v>69.014009999999999</v>
      </c>
      <c r="I63" s="33">
        <f>AVERAGEIF(Sheet2!$A$2:$A$203,$A63,Sheet2!$D$2:$D$203)/$B$43*$B$38*$B$39</f>
        <v>129.23076923076923</v>
      </c>
      <c r="J63" s="34">
        <f t="shared" si="6"/>
        <v>409.53195923076925</v>
      </c>
    </row>
    <row r="64" spans="1:10" x14ac:dyDescent="0.2">
      <c r="A64" t="str">
        <v>Sierra Leonne</v>
      </c>
      <c r="B64" s="32">
        <f>AVERAGEIF(Sheet2!$A$2:$A$203,$A64,Sheet2!$E$2:$E$203)</f>
        <v>1.7789999999999999</v>
      </c>
      <c r="C64" s="15">
        <f t="shared" si="0"/>
        <v>1.9272500000000001</v>
      </c>
      <c r="D64" s="33">
        <f t="shared" si="1"/>
        <v>20.583030000000001</v>
      </c>
      <c r="E64" s="33">
        <f t="shared" si="2"/>
        <v>62.442900000000002</v>
      </c>
      <c r="F64" s="33">
        <f t="shared" si="3"/>
        <v>96.362500000000011</v>
      </c>
      <c r="G64" s="33">
        <f t="shared" si="4"/>
        <v>223.48391000000001</v>
      </c>
      <c r="H64" s="33">
        <f t="shared" si="5"/>
        <v>131.59263000000001</v>
      </c>
      <c r="I64" s="33">
        <f>AVERAGEIF(Sheet2!$A$2:$A$203,$A64,Sheet2!$D$2:$D$203)/$B$43*$B$38*$B$39</f>
        <v>110.76923076923077</v>
      </c>
      <c r="J64" s="34">
        <f t="shared" si="6"/>
        <v>645.23420076923071</v>
      </c>
    </row>
    <row r="65" spans="1:10" x14ac:dyDescent="0.2">
      <c r="A65" t="str">
        <v>South Sudan</v>
      </c>
      <c r="B65" s="32">
        <f>AVERAGEIF(Sheet2!$A$2:$A$203,$A65,Sheet2!$E$2:$E$203)</f>
        <v>2.6</v>
      </c>
      <c r="C65" s="15">
        <f t="shared" si="0"/>
        <v>2.8166666666666669</v>
      </c>
      <c r="D65" s="33">
        <f t="shared" si="1"/>
        <v>30.082000000000001</v>
      </c>
      <c r="E65" s="33">
        <f t="shared" si="2"/>
        <v>91.26</v>
      </c>
      <c r="F65" s="33">
        <f t="shared" si="3"/>
        <v>140.83333333333334</v>
      </c>
      <c r="G65" s="33">
        <f t="shared" si="4"/>
        <v>326.62066666666669</v>
      </c>
      <c r="H65" s="33">
        <f t="shared" si="5"/>
        <v>192.32200000000003</v>
      </c>
      <c r="I65" s="33">
        <f>AVERAGEIF(Sheet2!$A$2:$A$203,$A65,Sheet2!$D$2:$D$203)/$B$43*$B$38*$B$39</f>
        <v>69.230769230769226</v>
      </c>
      <c r="J65" s="34">
        <f t="shared" si="6"/>
        <v>850.34876923076922</v>
      </c>
    </row>
    <row r="66" spans="1:10" x14ac:dyDescent="0.2">
      <c r="A66" t="str">
        <v>Tanzania</v>
      </c>
      <c r="B66" s="32">
        <f>AVERAGEIF(Sheet2!$A$2:$A$203,$A66,Sheet2!$E$2:$E$203)</f>
        <v>1.571</v>
      </c>
      <c r="C66" s="15">
        <f t="shared" si="0"/>
        <v>1.7019166666666667</v>
      </c>
      <c r="D66" s="33">
        <f t="shared" si="1"/>
        <v>18.176470000000002</v>
      </c>
      <c r="E66" s="33">
        <f t="shared" si="2"/>
        <v>55.142099999999999</v>
      </c>
      <c r="F66" s="33">
        <f t="shared" si="3"/>
        <v>85.095833333333331</v>
      </c>
      <c r="G66" s="33">
        <f t="shared" si="4"/>
        <v>197.35425666666666</v>
      </c>
      <c r="H66" s="33">
        <f t="shared" si="5"/>
        <v>116.20687000000001</v>
      </c>
      <c r="I66" s="33">
        <f>AVERAGEIF(Sheet2!$A$2:$A$203,$A66,Sheet2!$D$2:$D$203)/$B$43*$B$38*$B$39</f>
        <v>124.61538461538461</v>
      </c>
      <c r="J66" s="34">
        <f t="shared" si="6"/>
        <v>596.59091461538458</v>
      </c>
    </row>
    <row r="67" spans="1:10" x14ac:dyDescent="0.2">
      <c r="A67" t="str">
        <v>Togo</v>
      </c>
      <c r="B67" s="32">
        <f>AVERAGEIF(Sheet2!$A$2:$A$203,$A67,Sheet2!$E$2:$E$203)</f>
        <v>1.288</v>
      </c>
      <c r="C67" s="15">
        <f t="shared" si="0"/>
        <v>1.3953333333333335</v>
      </c>
      <c r="D67" s="33">
        <f t="shared" si="1"/>
        <v>14.902160000000002</v>
      </c>
      <c r="E67" s="33">
        <f t="shared" si="2"/>
        <v>45.208800000000004</v>
      </c>
      <c r="F67" s="33">
        <f t="shared" si="3"/>
        <v>69.76666666666668</v>
      </c>
      <c r="G67" s="33">
        <f t="shared" si="4"/>
        <v>161.80285333333336</v>
      </c>
      <c r="H67" s="33">
        <f t="shared" si="5"/>
        <v>95.273360000000011</v>
      </c>
      <c r="I67" s="33">
        <f>AVERAGEIF(Sheet2!$A$2:$A$203,$A67,Sheet2!$D$2:$D$203)/$B$43*$B$38*$B$39</f>
        <v>180</v>
      </c>
      <c r="J67" s="34">
        <f t="shared" si="6"/>
        <v>566.95384000000013</v>
      </c>
    </row>
    <row r="68" spans="1:10" x14ac:dyDescent="0.2">
      <c r="A68" t="str">
        <v>Uganda</v>
      </c>
      <c r="B68" s="32">
        <f>AVERAGEIF(Sheet2!$A$2:$A$203,$A68,Sheet2!$E$2:$E$203)</f>
        <v>1.6559999999999999</v>
      </c>
      <c r="C68" s="15">
        <f t="shared" si="0"/>
        <v>1.794</v>
      </c>
      <c r="D68" s="33">
        <f t="shared" si="1"/>
        <v>19.15992</v>
      </c>
      <c r="E68" s="33">
        <f t="shared" si="2"/>
        <v>58.125599999999999</v>
      </c>
      <c r="F68" s="33">
        <f t="shared" si="3"/>
        <v>89.7</v>
      </c>
      <c r="G68" s="33">
        <f t="shared" si="4"/>
        <v>208.03224</v>
      </c>
      <c r="H68" s="33">
        <f t="shared" si="5"/>
        <v>122.49432</v>
      </c>
      <c r="I68" s="33">
        <f>AVERAGEIF(Sheet2!$A$2:$A$203,$A68,Sheet2!$D$2:$D$203)/$B$43*$B$38*$B$39</f>
        <v>152.30769230769232</v>
      </c>
      <c r="J68" s="34">
        <f t="shared" si="6"/>
        <v>649.81977230769235</v>
      </c>
    </row>
    <row r="72" spans="1:10" x14ac:dyDescent="0.2">
      <c r="A72" s="29" t="s">
        <v>358</v>
      </c>
    </row>
    <row r="73" spans="1:10" x14ac:dyDescent="0.2">
      <c r="A73" t="s">
        <v>369</v>
      </c>
      <c r="B73" t="s">
        <v>370</v>
      </c>
      <c r="C73" t="s">
        <v>371</v>
      </c>
    </row>
    <row r="74" spans="1:10" x14ac:dyDescent="0.2">
      <c r="A74" t="s">
        <v>359</v>
      </c>
      <c r="B74" t="s">
        <v>360</v>
      </c>
    </row>
    <row r="75" spans="1:10" x14ac:dyDescent="0.2">
      <c r="A75" t="s">
        <v>361</v>
      </c>
      <c r="B75" t="s">
        <v>362</v>
      </c>
    </row>
    <row r="76" spans="1:10" x14ac:dyDescent="0.2">
      <c r="A76" t="s">
        <v>363</v>
      </c>
      <c r="B76" t="s">
        <v>364</v>
      </c>
    </row>
    <row r="82" spans="4:4" ht="18" x14ac:dyDescent="0.2">
      <c r="D82" s="3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Prabhleen Kaur</dc:creator>
  <cp:lastModifiedBy>Prabhleen Kaur</cp:lastModifiedBy>
  <dcterms:created xsi:type="dcterms:W3CDTF">2026-06-02T12:08:22Z</dcterms:created>
  <dcterms:modified xsi:type="dcterms:W3CDTF">2026-08-04T23:43:13Z</dcterms:modified>
</cp:coreProperties>
</file>